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d078e90f5b48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5e7deb398bbf4407"/>
    <x:sheet xmlns:r="http://schemas.openxmlformats.org/officeDocument/2006/relationships" name="사전등록 고정5세트" sheetId="2" r:id="R7a4f27a70e2f4494"/>
    <x:sheet xmlns:r="http://schemas.openxmlformats.org/officeDocument/2006/relationships" name="상태 계산" sheetId="3" r:id="R6e491912c36447d9"/>
    <x:sheet xmlns:r="http://schemas.openxmlformats.org/officeDocument/2006/relationships" name="경과 적중 사건" sheetId="4" r:id="R7cc2f9a17e68456b"/>
    <x:sheet xmlns:r="http://schemas.openxmlformats.org/officeDocument/2006/relationships" name="완결 일정" sheetId="5" r:id="R1b2a666f2ee1447a"/>
    <x:sheet xmlns:r="http://schemas.openxmlformats.org/officeDocument/2006/relationships" name="봉인 규칙·해시" sheetId="6" r:id="Rc7a97c9c971842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10">
    <x:font>
      <x:sz val="11"/>
      <x:name val="Carlito"/>
    </x:font>
    <x:font>
      <x:b/>
      <x:sz val="18"/>
      <x:color rgb="FFF8FBFD"/>
      <x:name val="Carlito"/>
    </x:font>
    <x:font>
      <x:sz val="10"/>
      <x:color rgb="FF344A58"/>
      <x:name val="Carlito"/>
    </x:font>
    <x:font>
      <x:b/>
      <x:sz val="11"/>
      <x:color rgb="FFF8FBFD"/>
      <x:name val="Carlito"/>
    </x:font>
    <x:font>
      <x:b/>
      <x:sz val="17"/>
      <x:color rgb="FF0B1E2D"/>
      <x:name val="Carlito"/>
    </x:font>
    <x:font>
      <x:sz val="8"/>
      <x:color rgb="FF718795"/>
      <x:name val="Carlito"/>
    </x:font>
    <x:font>
      <x:b/>
      <x:sz val="11"/>
      <x:color rgb="FF0B1E2D"/>
      <x:name val="Carlito"/>
    </x:font>
    <x:font>
      <x:sz val="11"/>
      <x:color rgb="FF344A58"/>
      <x:name val="Carlito"/>
    </x:font>
    <x:font>
      <x:b/>
      <x:sz val="11"/>
      <x:color rgb="FF805700"/>
      <x:name val="Carlito"/>
    </x:font>
    <x:font>
      <x:b/>
      <x:sz val="16"/>
      <x:color rgb="FFF8FBFD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B1E2D"/>
      </x:patternFill>
    </x:fill>
    <x:fill>
      <x:patternFill patternType="solid">
        <x:fgColor rgb="FFF2F6F8"/>
      </x:patternFill>
    </x:fill>
    <x:fill>
      <x:patternFill patternType="solid">
        <x:fgColor rgb="FF236B78"/>
      </x:patternFill>
    </x:fill>
    <x:fill>
      <x:patternFill patternType="solid">
        <x:fgColor rgb="FFF8FBFD"/>
      </x:patternFill>
    </x:fill>
    <x:fill>
      <x:patternFill patternType="solid">
        <x:fgColor rgb="FFFFF1CF"/>
      </x:patternFill>
    </x:fill>
  </x:fills>
  <x:borders count="30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right/>
      <x:top/>
    </x:border>
    <x:border>
      <x:left/>
      <x:right/>
    </x:border>
    <x:border>
      <x:left/>
      <x:right/>
      <x:bottom/>
    </x:border>
    <x:border>
      <x:left/>
      <x:right/>
      <x:top/>
    </x:border>
    <x:border>
      <x:left/>
      <x:right/>
    </x:border>
    <x:border>
      <x:left/>
      <x:right/>
      <x:bottom/>
    </x:border>
  </x:borders>
  <x:cellStyleXfs count="1">
    <x:xf numFmtId="0" fontId="0" fillId="0" borderId="0"/>
  </x:cellStyleXfs>
  <x:cellXfs count="37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3" fillId="4" borderId="4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3" fillId="4" borderId="4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horizontal="center"/>
    </x:xf>
    <x:xf numFmtId="0" fontId="3" fillId="4" borderId="6" xfId="0" applyNumberFormat="1" applyFont="1" applyFill="1" applyBorder="1" applyAlignment="1">
      <x:alignment horizontal="center"/>
    </x:xf>
    <x:xf numFmtId="0" fontId="3" fillId="4" borderId="7" xfId="0" applyNumberFormat="1" applyFont="1" applyFill="1" applyBorder="1" applyAlignment="1">
      <x:alignment horizontal="center"/>
    </x:xf>
    <x:xf numFmtId="0" fontId="3" fillId="4" borderId="5" xfId="0" applyNumberFormat="1" applyFont="1" applyFill="1" applyBorder="1" applyAlignment="1">
      <x:alignment horizontal="center" vertical="center"/>
    </x:xf>
    <x:xf numFmtId="0" fontId="3" fillId="4" borderId="6" xfId="0" applyNumberFormat="1" applyFont="1" applyFill="1" applyBorder="1" applyAlignment="1">
      <x:alignment horizontal="center" vertical="center"/>
    </x:xf>
    <x:xf numFmtId="0" fontId="3" fillId="4" borderId="7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horizontal="center" wrapText="1"/>
    </x:xf>
    <x:xf numFmtId="0" fontId="4" fillId="5" borderId="3" xfId="0" applyNumberFormat="1" applyFont="1" applyFill="1" applyBorder="1" applyAlignment="1">
      <x:alignment horizontal="center" wrapText="1"/>
    </x:xf>
    <x:xf numFmtId="0" fontId="4" fillId="5" borderId="4" xfId="0" applyNumberFormat="1" applyFont="1" applyFill="1" applyBorder="1" applyAlignment="1">
      <x:alignment horizont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horizontal="center" wrapText="1"/>
    </x:xf>
    <x:xf numFmtId="0" fontId="4" fillId="5" borderId="6" xfId="0" applyNumberFormat="1" applyFont="1" applyFill="1" applyBorder="1" applyAlignment="1">
      <x:alignment horizontal="center" wrapText="1"/>
    </x:xf>
    <x:xf numFmtId="0" fontId="4" fillId="5" borderId="7" xfId="0" applyNumberFormat="1" applyFont="1" applyFill="1" applyBorder="1" applyAlignment="1">
      <x:alignment horizontal="center" wrapText="1"/>
    </x:xf>
    <x:xf numFmtId="0" fontId="5" fillId="3" borderId="0" xfId="0" applyNumberFormat="1" applyFont="1" applyFill="1" applyBorder="1"/>
    <x:xf numFmtId="0" fontId="5" fillId="3" borderId="2" xfId="0" applyNumberFormat="1" applyFont="1" applyFill="1" applyBorder="1"/>
    <x:xf numFmtId="0" fontId="5" fillId="3" borderId="3" xfId="0" applyNumberFormat="1" applyFont="1" applyFill="1" applyBorder="1"/>
    <x:xf numFmtId="0" fontId="5" fillId="3" borderId="4" xfId="0" applyNumberFormat="1" applyFont="1" applyFill="1" applyBorder="1"/>
    <x:xf numFmtId="0" fontId="5" fillId="3" borderId="2" xfId="0" applyNumberFormat="1" applyFont="1" applyFill="1" applyBorder="1" applyAlignment="1">
      <x:alignment horizontal="center"/>
    </x:xf>
    <x:xf numFmtId="0" fontId="5" fillId="3" borderId="3" xfId="0" applyNumberFormat="1" applyFont="1" applyFill="1" applyBorder="1" applyAlignment="1">
      <x:alignment horizontal="center"/>
    </x:xf>
    <x:xf numFmtId="0" fontId="5" fillId="3" borderId="4" xfId="0" applyNumberFormat="1" applyFont="1" applyFill="1" applyBorder="1" applyAlignment="1">
      <x:alignment horizontal="center"/>
    </x:xf>
    <x:xf numFmtId="0" fontId="5" fillId="3" borderId="1" xfId="0" applyNumberFormat="1" applyFont="1" applyFill="1" applyBorder="1"/>
    <x:xf numFmtId="0" fontId="5" fillId="3" borderId="5" xfId="0" applyNumberFormat="1" applyFont="1" applyFill="1" applyBorder="1"/>
    <x:xf numFmtId="0" fontId="5" fillId="3" borderId="6" xfId="0" applyNumberFormat="1" applyFont="1" applyFill="1" applyBorder="1"/>
    <x:xf numFmtId="0" fontId="5" fillId="3" borderId="7" xfId="0" applyNumberFormat="1" applyFont="1" applyFill="1" applyBorder="1"/>
    <x:xf numFmtId="0" fontId="5" fillId="3" borderId="5" xfId="0" applyNumberFormat="1" applyFont="1" applyFill="1" applyBorder="1" applyAlignment="1">
      <x:alignment horizontal="center"/>
    </x:xf>
    <x:xf numFmtId="0" fontId="5" fillId="3" borderId="6" xfId="0" applyNumberFormat="1" applyFont="1" applyFill="1" applyBorder="1" applyAlignment="1">
      <x:alignment horizontal="center"/>
    </x:xf>
    <x:xf numFmtId="0" fontId="5" fillId="3" borderId="7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horizontal="center"/>
    </x:xf>
    <x:xf numFmtId="0" fontId="3" fillId="2" borderId="3" xfId="0" applyNumberFormat="1" applyFont="1" applyFill="1" applyBorder="1" applyAlignment="1">
      <x:alignment horizontal="center"/>
    </x:xf>
    <x:xf numFmtId="0" fontId="3" fillId="2" borderId="4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3" fillId="2" borderId="4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5" xfId="0" applyNumberFormat="1" applyFont="1" applyFill="1" applyBorder="1"/>
    <x:xf numFmtId="0" fontId="3" fillId="2" borderId="6" xfId="0" applyNumberFormat="1" applyFont="1" applyFill="1" applyBorder="1"/>
    <x:xf numFmtId="0" fontId="3" fillId="2" borderId="7" xfId="0" applyNumberFormat="1" applyFont="1" applyFill="1" applyBorder="1"/>
    <x:xf numFmtId="0" fontId="3" fillId="2" borderId="5" xfId="0" applyNumberFormat="1" applyFont="1" applyFill="1" applyBorder="1" applyAlignment="1">
      <x:alignment horizontal="center"/>
    </x:xf>
    <x:xf numFmtId="0" fontId="3" fillId="2" borderId="6" xfId="0" applyNumberFormat="1" applyFont="1" applyFill="1" applyBorder="1" applyAlignment="1">
      <x:alignment horizontal="center"/>
    </x:xf>
    <x:xf numFmtId="0" fontId="3" fillId="2" borderId="7" xfId="0" applyNumberFormat="1" applyFont="1" applyFill="1" applyBorder="1" applyAlignment="1">
      <x:alignment horizontal="center"/>
    </x:xf>
    <x:xf numFmtId="0" fontId="3" fillId="2" borderId="5" xfId="0" applyNumberFormat="1" applyFont="1" applyFill="1" applyBorder="1" applyAlignment="1">
      <x:alignment horizontal="center" vertical="center"/>
    </x:xf>
    <x:xf numFmtId="0" fontId="3" fillId="2" borderId="6" xfId="0" applyNumberFormat="1" applyFont="1" applyFill="1" applyBorder="1" applyAlignment="1">
      <x:alignment horizontal="center" vertical="center"/>
    </x:xf>
    <x:xf numFmtId="0" fontId="3" fillId="2" borderId="7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8" xfId="0" applyNumberFormat="1" applyFont="1" applyFill="1" applyBorder="1" applyAlignment="1">
      <x:alignment horizontal="center"/>
    </x:xf>
    <x:xf numFmtId="0" fontId="0" fillId="0" borderId="9" xfId="0" applyNumberFormat="1" applyFont="1" applyFill="1" applyBorder="1" applyAlignment="1">
      <x:alignment horizontal="center"/>
    </x:xf>
    <x:xf numFmtId="0" fontId="0" fillId="0" borderId="10" xfId="0" applyNumberFormat="1" applyFont="1" applyFill="1" applyBorder="1" applyAlignment="1">
      <x:alignment horizontal="center"/>
    </x:xf>
    <x:xf numFmtId="0" fontId="0" fillId="0" borderId="1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12" xfId="0" applyNumberFormat="1" applyFont="1" applyFill="1" applyBorder="1" applyAlignment="1">
      <x:alignment horizontal="center"/>
    </x:xf>
    <x:xf numFmtId="0" fontId="0" fillId="0" borderId="13" xfId="0" applyNumberFormat="1" applyFont="1" applyFill="1" applyBorder="1" applyAlignment="1">
      <x:alignment horizontal="center"/>
    </x:xf>
    <x:xf numFmtId="0" fontId="0" fillId="0" borderId="14" xfId="0" applyNumberFormat="1" applyFont="1" applyFill="1" applyBorder="1" applyAlignment="1">
      <x:alignment horizontal="center"/>
    </x:xf>
    <x:xf numFmtId="0" fontId="0" fillId="0" borderId="15" xfId="0" applyNumberFormat="1" applyFont="1" applyFill="1" applyBorder="1" applyAlignment="1">
      <x:alignment horizontal="center"/>
    </x:xf>
    <x:xf numFmtId="0" fontId="0" fillId="0" borderId="8" xfId="0" applyNumberFormat="1" applyFont="1" applyFill="1" applyBorder="1" applyAlignment="1">
      <x:alignment horizontal="center" vertical="center"/>
    </x:xf>
    <x:xf numFmtId="0" fontId="0" fillId="0" borderId="9" xfId="0" applyNumberFormat="1" applyFont="1" applyFill="1" applyBorder="1" applyAlignment="1">
      <x:alignment horizontal="center" vertical="center"/>
    </x:xf>
    <x:xf numFmtId="0" fontId="0" fillId="0" borderId="10" xfId="0" applyNumberFormat="1" applyFont="1" applyFill="1" applyBorder="1" applyAlignment="1">
      <x:alignment horizontal="center" vertical="center"/>
    </x:xf>
    <x:xf numFmtId="0" fontId="0" fillId="0" borderId="1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 applyAlignment="1">
      <x:alignment horizontal="center" vertical="center"/>
    </x:xf>
    <x:xf numFmtId="0" fontId="0" fillId="0" borderId="14" xfId="0" applyNumberFormat="1" applyFont="1" applyFill="1" applyBorder="1" applyAlignment="1">
      <x:alignment horizontal="center" vertical="center"/>
    </x:xf>
    <x:xf numFmtId="0" fontId="0" fillId="0" borderId="15" xfId="0" applyNumberFormat="1" applyFont="1" applyFill="1" applyBorder="1" applyAlignment="1">
      <x:alignment horizontal="center" vertical="center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16" xfId="0" applyNumberFormat="1" applyFont="1" applyFill="1" applyBorder="1" applyAlignment="1">
      <x:alignment horizontal="center"/>
    </x:xf>
    <x:xf numFmtId="0" fontId="0" fillId="0" borderId="17" xfId="0" applyNumberFormat="1" applyFont="1" applyFill="1" applyBorder="1" applyAlignment="1">
      <x:alignment horizontal="center"/>
    </x:xf>
    <x:xf numFmtId="0" fontId="0" fillId="0" borderId="18" xfId="0" applyNumberFormat="1" applyFont="1" applyFill="1" applyBorder="1" applyAlignment="1">
      <x:alignment horizontal="center"/>
    </x:xf>
    <x:xf numFmtId="0" fontId="0" fillId="0" borderId="19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20" xfId="0" applyNumberFormat="1" applyFont="1" applyFill="1" applyBorder="1" applyAlignment="1">
      <x:alignment horizontal="center"/>
    </x:xf>
    <x:xf numFmtId="0" fontId="0" fillId="0" borderId="21" xfId="0" applyNumberFormat="1" applyFont="1" applyFill="1" applyBorder="1" applyAlignment="1">
      <x:alignment horizontal="center"/>
    </x:xf>
    <x:xf numFmtId="0" fontId="0" fillId="0" borderId="22" xfId="0" applyNumberFormat="1" applyFont="1" applyFill="1" applyBorder="1" applyAlignment="1">
      <x:alignment horizontal="center"/>
    </x:xf>
    <x:xf numFmtId="0" fontId="0" fillId="0" borderId="23" xfId="0" applyNumberFormat="1" applyFont="1" applyFill="1" applyBorder="1" applyAlignment="1">
      <x:alignment horizontal="center"/>
    </x:xf>
    <x:xf numFmtId="0" fontId="0" fillId="0" borderId="16" xfId="0" applyNumberFormat="1" applyFont="1" applyFill="1" applyBorder="1" applyAlignment="1">
      <x:alignment horizontal="center" vertical="center"/>
    </x:xf>
    <x:xf numFmtId="0" fontId="0" fillId="0" borderId="17" xfId="0" applyNumberFormat="1" applyFont="1" applyFill="1" applyBorder="1" applyAlignment="1">
      <x:alignment horizontal="center" vertical="center"/>
    </x:xf>
    <x:xf numFmtId="0" fontId="0" fillId="0" borderId="18" xfId="0" applyNumberFormat="1" applyFont="1" applyFill="1" applyBorder="1" applyAlignment="1">
      <x:alignment horizontal="center" vertical="center"/>
    </x:xf>
    <x:xf numFmtId="0" fontId="0" fillId="0" borderId="19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0" borderId="20" xfId="0" applyNumberFormat="1" applyFont="1" applyFill="1" applyBorder="1" applyAlignment="1">
      <x:alignment horizontal="center" vertical="center"/>
    </x:xf>
    <x:xf numFmtId="0" fontId="0" fillId="0" borderId="21" xfId="0" applyNumberFormat="1" applyFont="1" applyFill="1" applyBorder="1" applyAlignment="1">
      <x:alignment horizontal="center" vertical="center"/>
    </x:xf>
    <x:xf numFmtId="0" fontId="0" fillId="0" borderId="22" xfId="0" applyNumberFormat="1" applyFont="1" applyFill="1" applyBorder="1" applyAlignment="1">
      <x:alignment horizontal="center" vertical="center"/>
    </x:xf>
    <x:xf numFmtId="0" fontId="0" fillId="0" borderId="23" xfId="0" applyNumberFormat="1" applyFont="1" applyFill="1" applyBorder="1" applyAlignment="1">
      <x:alignment horizontal="center" vertical="center"/>
    </x:xf>
    <x:xf numFmtId="200" fontId="0" fillId="0" borderId="9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horizontal="center" vertical="center"/>
    </x:xf>
    <x:xf numFmtId="200" fontId="0" fillId="0" borderId="14" xfId="0" applyNumberFormat="1" applyFont="1" applyFill="1" applyBorder="1" applyAlignment="1">
      <x:alignment horizontal="center" vertical="center"/>
    </x:xf>
    <x:xf numFmtId="200" fontId="0" fillId="0" borderId="17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 applyAlignment="1">
      <x:alignment horizontal="center" vertical="center"/>
    </x:xf>
    <x:xf numFmtId="200" fontId="0" fillId="0" borderId="22" xfId="0" applyNumberFormat="1" applyFont="1" applyFill="1" applyBorder="1" applyAlignment="1">
      <x:alignment horizontal="center" vertical="center"/>
    </x:xf>
    <x:xf numFmtId="0" fontId="6" fillId="3" borderId="0" xfId="0" applyNumberFormat="1" applyFont="1" applyFill="1" applyBorder="1"/>
    <x:xf numFmtId="0" fontId="6" fillId="3" borderId="8" xfId="0" applyNumberFormat="1" applyFont="1" applyFill="1" applyBorder="1"/>
    <x:xf numFmtId="0" fontId="6" fillId="3" borderId="10" xfId="0" applyNumberFormat="1" applyFont="1" applyFill="1" applyBorder="1"/>
    <x:xf numFmtId="0" fontId="6" fillId="3" borderId="11" xfId="0" applyNumberFormat="1" applyFont="1" applyFill="1" applyBorder="1"/>
    <x:xf numFmtId="0" fontId="6" fillId="3" borderId="12" xfId="0" applyNumberFormat="1" applyFont="1" applyFill="1" applyBorder="1"/>
    <x:xf numFmtId="0" fontId="6" fillId="3" borderId="13" xfId="0" applyNumberFormat="1" applyFont="1" applyFill="1" applyBorder="1"/>
    <x:xf numFmtId="0" fontId="6" fillId="3" borderId="15" xfId="0" applyNumberFormat="1" applyFont="1" applyFill="1" applyBorder="1"/>
    <x:xf numFmtId="0" fontId="6" fillId="3" borderId="1" xfId="0" applyNumberFormat="1" applyFont="1" applyFill="1" applyBorder="1"/>
    <x:xf numFmtId="0" fontId="6" fillId="3" borderId="16" xfId="0" applyNumberFormat="1" applyFont="1" applyFill="1" applyBorder="1"/>
    <x:xf numFmtId="0" fontId="6" fillId="3" borderId="18" xfId="0" applyNumberFormat="1" applyFont="1" applyFill="1" applyBorder="1"/>
    <x:xf numFmtId="0" fontId="6" fillId="3" borderId="19" xfId="0" applyNumberFormat="1" applyFont="1" applyFill="1" applyBorder="1"/>
    <x:xf numFmtId="0" fontId="6" fillId="3" borderId="20" xfId="0" applyNumberFormat="1" applyFont="1" applyFill="1" applyBorder="1"/>
    <x:xf numFmtId="0" fontId="6" fillId="3" borderId="21" xfId="0" applyNumberFormat="1" applyFont="1" applyFill="1" applyBorder="1"/>
    <x:xf numFmtId="0" fontId="6" fillId="3" borderId="23" xfId="0" applyNumberFormat="1" applyFont="1" applyFill="1" applyBorder="1"/>
    <x:xf numFmtId="0" fontId="7" fillId="5" borderId="0" xfId="0" applyNumberFormat="1" applyFont="1" applyFill="1" applyBorder="1"/>
    <x:xf numFmtId="0" fontId="7" fillId="5" borderId="8" xfId="0" applyNumberFormat="1" applyFont="1" applyFill="1" applyBorder="1"/>
    <x:xf numFmtId="0" fontId="7" fillId="5" borderId="9" xfId="0" applyNumberFormat="1" applyFont="1" applyFill="1" applyBorder="1"/>
    <x:xf numFmtId="0" fontId="7" fillId="5" borderId="10" xfId="0" applyNumberFormat="1" applyFont="1" applyFill="1" applyBorder="1"/>
    <x:xf numFmtId="0" fontId="7" fillId="5" borderId="11" xfId="0" applyNumberFormat="1" applyFont="1" applyFill="1" applyBorder="1"/>
    <x:xf numFmtId="0" fontId="7" fillId="5" borderId="12" xfId="0" applyNumberFormat="1" applyFont="1" applyFill="1" applyBorder="1"/>
    <x:xf numFmtId="0" fontId="7" fillId="5" borderId="13" xfId="0" applyNumberFormat="1" applyFont="1" applyFill="1" applyBorder="1"/>
    <x:xf numFmtId="0" fontId="7" fillId="5" borderId="14" xfId="0" applyNumberFormat="1" applyFont="1" applyFill="1" applyBorder="1"/>
    <x:xf numFmtId="0" fontId="7" fillId="5" borderId="15" xfId="0" applyNumberFormat="1" applyFont="1" applyFill="1" applyBorder="1"/>
    <x:xf numFmtId="0" fontId="7" fillId="5" borderId="8" xfId="0" applyNumberFormat="1" applyFont="1" applyFill="1" applyBorder="1" applyAlignment="1">
      <x:alignment wrapText="1"/>
    </x:xf>
    <x:xf numFmtId="0" fontId="7" fillId="5" borderId="9" xfId="0" applyNumberFormat="1" applyFont="1" applyFill="1" applyBorder="1" applyAlignment="1">
      <x:alignment wrapText="1"/>
    </x:xf>
    <x:xf numFmtId="0" fontId="7" fillId="5" borderId="10" xfId="0" applyNumberFormat="1" applyFont="1" applyFill="1" applyBorder="1" applyAlignment="1">
      <x:alignment wrapText="1"/>
    </x:xf>
    <x:xf numFmtId="0" fontId="7" fillId="5" borderId="11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wrapText="1"/>
    </x:xf>
    <x:xf numFmtId="0" fontId="7" fillId="5" borderId="12" xfId="0" applyNumberFormat="1" applyFont="1" applyFill="1" applyBorder="1" applyAlignment="1">
      <x:alignment wrapText="1"/>
    </x:xf>
    <x:xf numFmtId="0" fontId="7" fillId="5" borderId="13" xfId="0" applyNumberFormat="1" applyFont="1" applyFill="1" applyBorder="1" applyAlignment="1">
      <x:alignment wrapText="1"/>
    </x:xf>
    <x:xf numFmtId="0" fontId="7" fillId="5" borderId="14" xfId="0" applyNumberFormat="1" applyFont="1" applyFill="1" applyBorder="1" applyAlignment="1">
      <x:alignment wrapText="1"/>
    </x:xf>
    <x:xf numFmtId="0" fontId="7" fillId="5" borderId="15" xfId="0" applyNumberFormat="1" applyFont="1" applyFill="1" applyBorder="1" applyAlignment="1">
      <x:alignment wrapText="1"/>
    </x:xf>
    <x:xf numFmtId="0" fontId="7" fillId="5" borderId="1" xfId="0" applyNumberFormat="1" applyFont="1" applyFill="1" applyBorder="1"/>
    <x:xf numFmtId="0" fontId="7" fillId="5" borderId="16" xfId="0" applyNumberFormat="1" applyFont="1" applyFill="1" applyBorder="1"/>
    <x:xf numFmtId="0" fontId="7" fillId="5" borderId="17" xfId="0" applyNumberFormat="1" applyFont="1" applyFill="1" applyBorder="1"/>
    <x:xf numFmtId="0" fontId="7" fillId="5" borderId="18" xfId="0" applyNumberFormat="1" applyFont="1" applyFill="1" applyBorder="1"/>
    <x:xf numFmtId="0" fontId="7" fillId="5" borderId="19" xfId="0" applyNumberFormat="1" applyFont="1" applyFill="1" applyBorder="1"/>
    <x:xf numFmtId="0" fontId="7" fillId="5" borderId="20" xfId="0" applyNumberFormat="1" applyFont="1" applyFill="1" applyBorder="1"/>
    <x:xf numFmtId="0" fontId="7" fillId="5" borderId="21" xfId="0" applyNumberFormat="1" applyFont="1" applyFill="1" applyBorder="1"/>
    <x:xf numFmtId="0" fontId="7" fillId="5" borderId="22" xfId="0" applyNumberFormat="1" applyFont="1" applyFill="1" applyBorder="1"/>
    <x:xf numFmtId="0" fontId="7" fillId="5" borderId="23" xfId="0" applyNumberFormat="1" applyFont="1" applyFill="1" applyBorder="1"/>
    <x:xf numFmtId="0" fontId="7" fillId="5" borderId="16" xfId="0" applyNumberFormat="1" applyFont="1" applyFill="1" applyBorder="1" applyAlignment="1">
      <x:alignment wrapText="1"/>
    </x:xf>
    <x:xf numFmtId="0" fontId="7" fillId="5" borderId="17" xfId="0" applyNumberFormat="1" applyFont="1" applyFill="1" applyBorder="1" applyAlignment="1">
      <x:alignment wrapText="1"/>
    </x:xf>
    <x:xf numFmtId="0" fontId="7" fillId="5" borderId="18" xfId="0" applyNumberFormat="1" applyFont="1" applyFill="1" applyBorder="1" applyAlignment="1">
      <x:alignment wrapText="1"/>
    </x:xf>
    <x:xf numFmtId="0" fontId="7" fillId="5" borderId="19" xfId="0" applyNumberFormat="1" applyFont="1" applyFill="1" applyBorder="1" applyAlignment="1">
      <x:alignment wrapText="1"/>
    </x:xf>
    <x:xf numFmtId="0" fontId="7" fillId="5" borderId="1" xfId="0" applyNumberFormat="1" applyFont="1" applyFill="1" applyBorder="1" applyAlignment="1">
      <x:alignment wrapText="1"/>
    </x:xf>
    <x:xf numFmtId="0" fontId="7" fillId="5" borderId="20" xfId="0" applyNumberFormat="1" applyFont="1" applyFill="1" applyBorder="1" applyAlignment="1">
      <x:alignment wrapText="1"/>
    </x:xf>
    <x:xf numFmtId="0" fontId="7" fillId="5" borderId="21" xfId="0" applyNumberFormat="1" applyFont="1" applyFill="1" applyBorder="1" applyAlignment="1">
      <x:alignment wrapText="1"/>
    </x:xf>
    <x:xf numFmtId="0" fontId="7" fillId="5" borderId="22" xfId="0" applyNumberFormat="1" applyFont="1" applyFill="1" applyBorder="1" applyAlignment="1">
      <x:alignment wrapText="1"/>
    </x:xf>
    <x:xf numFmtId="0" fontId="7" fillId="5" borderId="2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0" fontId="0" fillId="0" borderId="18" xfId="0" applyNumberFormat="1" applyFont="1" applyFill="1" applyBorder="1" applyAlignment="1">
      <x:alignment vertical="center"/>
    </x:xf>
    <x:xf numFmtId="0" fontId="0" fillId="0" borderId="19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20" xfId="0" applyNumberFormat="1" applyFont="1" applyFill="1" applyBorder="1" applyAlignment="1">
      <x:alignment vertical="center"/>
    </x:xf>
    <x:xf numFmtId="0" fontId="0" fillId="0" borderId="21" xfId="0" applyNumberFormat="1" applyFont="1" applyFill="1" applyBorder="1" applyAlignment="1">
      <x:alignment vertical="center"/>
    </x:xf>
    <x:xf numFmtId="0" fontId="0" fillId="0" borderId="22" xfId="0" applyNumberFormat="1" applyFont="1" applyFill="1" applyBorder="1" applyAlignment="1">
      <x:alignment vertical="center"/>
    </x:xf>
    <x:xf numFmtId="0" fontId="0" fillId="0" borderId="23" xfId="0" applyNumberFormat="1" applyFont="1" applyFill="1" applyBorder="1" applyAlignment="1">
      <x:alignment vertical="center"/>
    </x:xf>
    <x:xf numFmtId="200" fontId="0" fillId="0" borderId="9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horizontal="center"/>
    </x:xf>
    <x:xf numFmtId="200" fontId="0" fillId="0" borderId="14" xfId="0" applyNumberFormat="1" applyFont="1" applyFill="1" applyBorder="1" applyAlignment="1">
      <x:alignment horizontal="center"/>
    </x:xf>
    <x:xf numFmtId="200" fontId="0" fillId="0" borderId="17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 applyAlignment="1">
      <x:alignment horizontal="center"/>
    </x:xf>
    <x:xf numFmtId="200" fontId="0" fillId="0" borderId="22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8" xfId="0" applyNumberFormat="1" applyFont="1" applyFill="1" applyBorder="1"/>
    <x:xf numFmtId="0" fontId="8" fillId="6" borderId="9" xfId="0" applyNumberFormat="1" applyFont="1" applyFill="1" applyBorder="1"/>
    <x:xf numFmtId="0" fontId="8" fillId="6" borderId="10" xfId="0" applyNumberFormat="1" applyFont="1" applyFill="1" applyBorder="1"/>
    <x:xf numFmtId="0" fontId="8" fillId="6" borderId="11" xfId="0" applyNumberFormat="1" applyFont="1" applyFill="1" applyBorder="1"/>
    <x:xf numFmtId="0" fontId="8" fillId="6" borderId="12" xfId="0" applyNumberFormat="1" applyFont="1" applyFill="1" applyBorder="1"/>
    <x:xf numFmtId="0" fontId="8" fillId="6" borderId="13" xfId="0" applyNumberFormat="1" applyFont="1" applyFill="1" applyBorder="1"/>
    <x:xf numFmtId="0" fontId="8" fillId="6" borderId="14" xfId="0" applyNumberFormat="1" applyFont="1" applyFill="1" applyBorder="1"/>
    <x:xf numFmtId="0" fontId="8" fillId="6" borderId="15" xfId="0" applyNumberFormat="1" applyFont="1" applyFill="1" applyBorder="1"/>
    <x:xf numFmtId="0" fontId="8" fillId="6" borderId="8" xfId="0" applyNumberFormat="1" applyFont="1" applyFill="1" applyBorder="1" applyAlignment="1">
      <x:alignment wrapText="1"/>
    </x:xf>
    <x:xf numFmtId="0" fontId="8" fillId="6" borderId="9" xfId="0" applyNumberFormat="1" applyFont="1" applyFill="1" applyBorder="1" applyAlignment="1">
      <x:alignment wrapText="1"/>
    </x:xf>
    <x:xf numFmtId="0" fontId="8" fillId="6" borderId="10" xfId="0" applyNumberFormat="1" applyFont="1" applyFill="1" applyBorder="1" applyAlignment="1">
      <x:alignment wrapText="1"/>
    </x:xf>
    <x:xf numFmtId="0" fontId="8" fillId="6" borderId="11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wrapText="1"/>
    </x:xf>
    <x:xf numFmtId="0" fontId="8" fillId="6" borderId="12" xfId="0" applyNumberFormat="1" applyFont="1" applyFill="1" applyBorder="1" applyAlignment="1">
      <x:alignment wrapText="1"/>
    </x:xf>
    <x:xf numFmtId="0" fontId="8" fillId="6" borderId="13" xfId="0" applyNumberFormat="1" applyFont="1" applyFill="1" applyBorder="1" applyAlignment="1">
      <x:alignment wrapText="1"/>
    </x:xf>
    <x:xf numFmtId="0" fontId="8" fillId="6" borderId="14" xfId="0" applyNumberFormat="1" applyFont="1" applyFill="1" applyBorder="1" applyAlignment="1">
      <x:alignment wrapText="1"/>
    </x:xf>
    <x:xf numFmtId="0" fontId="8" fillId="6" borderId="15" xfId="0" applyNumberFormat="1" applyFont="1" applyFill="1" applyBorder="1" applyAlignment="1">
      <x:alignment wrapText="1"/>
    </x:xf>
    <x:xf numFmtId="0" fontId="8" fillId="6" borderId="8" xfId="0" applyNumberFormat="1" applyFont="1" applyFill="1" applyBorder="1" applyAlignment="1">
      <x:alignment vertical="center" wrapText="1"/>
    </x:xf>
    <x:xf numFmtId="0" fontId="8" fillId="6" borderId="9" xfId="0" applyNumberFormat="1" applyFont="1" applyFill="1" applyBorder="1" applyAlignment="1">
      <x:alignment vertical="center" wrapText="1"/>
    </x:xf>
    <x:xf numFmtId="0" fontId="8" fillId="6" borderId="10" xfId="0" applyNumberFormat="1" applyFont="1" applyFill="1" applyBorder="1" applyAlignment="1">
      <x:alignment vertical="center" wrapText="1"/>
    </x:xf>
    <x:xf numFmtId="0" fontId="8" fillId="6" borderId="11" xfId="0" applyNumberFormat="1" applyFont="1" applyFill="1" applyBorder="1" applyAlignment="1">
      <x:alignment vertical="center" wrapText="1"/>
    </x:xf>
    <x:xf numFmtId="0" fontId="8" fillId="6" borderId="0" xfId="0" applyNumberFormat="1" applyFont="1" applyFill="1" applyBorder="1" applyAlignment="1">
      <x:alignment vertical="center" wrapText="1"/>
    </x:xf>
    <x:xf numFmtId="0" fontId="8" fillId="6" borderId="12" xfId="0" applyNumberFormat="1" applyFont="1" applyFill="1" applyBorder="1" applyAlignment="1">
      <x:alignment vertical="center" wrapText="1"/>
    </x:xf>
    <x:xf numFmtId="0" fontId="8" fillId="6" borderId="13" xfId="0" applyNumberFormat="1" applyFont="1" applyFill="1" applyBorder="1" applyAlignment="1">
      <x:alignment vertical="center" wrapText="1"/>
    </x:xf>
    <x:xf numFmtId="0" fontId="8" fillId="6" borderId="14" xfId="0" applyNumberFormat="1" applyFont="1" applyFill="1" applyBorder="1" applyAlignment="1">
      <x:alignment vertical="center" wrapText="1"/>
    </x:xf>
    <x:xf numFmtId="0" fontId="8" fillId="6" borderId="15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8" fillId="6" borderId="1" xfId="0" applyNumberFormat="1" applyFont="1" applyFill="1" applyBorder="1"/>
    <x:xf numFmtId="0" fontId="8" fillId="6" borderId="16" xfId="0" applyNumberFormat="1" applyFont="1" applyFill="1" applyBorder="1"/>
    <x:xf numFmtId="0" fontId="8" fillId="6" borderId="17" xfId="0" applyNumberFormat="1" applyFont="1" applyFill="1" applyBorder="1"/>
    <x:xf numFmtId="0" fontId="8" fillId="6" borderId="18" xfId="0" applyNumberFormat="1" applyFont="1" applyFill="1" applyBorder="1"/>
    <x:xf numFmtId="0" fontId="8" fillId="6" borderId="19" xfId="0" applyNumberFormat="1" applyFont="1" applyFill="1" applyBorder="1"/>
    <x:xf numFmtId="0" fontId="8" fillId="6" borderId="20" xfId="0" applyNumberFormat="1" applyFont="1" applyFill="1" applyBorder="1"/>
    <x:xf numFmtId="0" fontId="8" fillId="6" borderId="21" xfId="0" applyNumberFormat="1" applyFont="1" applyFill="1" applyBorder="1"/>
    <x:xf numFmtId="0" fontId="8" fillId="6" borderId="22" xfId="0" applyNumberFormat="1" applyFont="1" applyFill="1" applyBorder="1"/>
    <x:xf numFmtId="0" fontId="8" fillId="6" borderId="23" xfId="0" applyNumberFormat="1" applyFont="1" applyFill="1" applyBorder="1"/>
    <x:xf numFmtId="0" fontId="8" fillId="6" borderId="16" xfId="0" applyNumberFormat="1" applyFont="1" applyFill="1" applyBorder="1" applyAlignment="1">
      <x:alignment wrapText="1"/>
    </x:xf>
    <x:xf numFmtId="0" fontId="8" fillId="6" borderId="17" xfId="0" applyNumberFormat="1" applyFont="1" applyFill="1" applyBorder="1" applyAlignment="1">
      <x:alignment wrapText="1"/>
    </x:xf>
    <x:xf numFmtId="0" fontId="8" fillId="6" borderId="18" xfId="0" applyNumberFormat="1" applyFont="1" applyFill="1" applyBorder="1" applyAlignment="1">
      <x:alignment wrapText="1"/>
    </x:xf>
    <x:xf numFmtId="0" fontId="8" fillId="6" borderId="19" xfId="0" applyNumberFormat="1" applyFont="1" applyFill="1" applyBorder="1" applyAlignment="1">
      <x:alignment wrapText="1"/>
    </x:xf>
    <x:xf numFmtId="0" fontId="8" fillId="6" borderId="1" xfId="0" applyNumberFormat="1" applyFont="1" applyFill="1" applyBorder="1" applyAlignment="1">
      <x:alignment wrapText="1"/>
    </x:xf>
    <x:xf numFmtId="0" fontId="8" fillId="6" borderId="20" xfId="0" applyNumberFormat="1" applyFont="1" applyFill="1" applyBorder="1" applyAlignment="1">
      <x:alignment wrapText="1"/>
    </x:xf>
    <x:xf numFmtId="0" fontId="8" fillId="6" borderId="21" xfId="0" applyNumberFormat="1" applyFont="1" applyFill="1" applyBorder="1" applyAlignment="1">
      <x:alignment wrapText="1"/>
    </x:xf>
    <x:xf numFmtId="0" fontId="8" fillId="6" borderId="22" xfId="0" applyNumberFormat="1" applyFont="1" applyFill="1" applyBorder="1" applyAlignment="1">
      <x:alignment wrapText="1"/>
    </x:xf>
    <x:xf numFmtId="0" fontId="8" fillId="6" borderId="23" xfId="0" applyNumberFormat="1" applyFont="1" applyFill="1" applyBorder="1" applyAlignment="1">
      <x:alignment wrapText="1"/>
    </x:xf>
    <x:xf numFmtId="0" fontId="8" fillId="6" borderId="16" xfId="0" applyNumberFormat="1" applyFont="1" applyFill="1" applyBorder="1" applyAlignment="1">
      <x:alignment vertical="center" wrapText="1"/>
    </x:xf>
    <x:xf numFmtId="0" fontId="8" fillId="6" borderId="17" xfId="0" applyNumberFormat="1" applyFont="1" applyFill="1" applyBorder="1" applyAlignment="1">
      <x:alignment vertical="center" wrapText="1"/>
    </x:xf>
    <x:xf numFmtId="0" fontId="8" fillId="6" borderId="18" xfId="0" applyNumberFormat="1" applyFont="1" applyFill="1" applyBorder="1" applyAlignment="1">
      <x:alignment vertical="center" wrapText="1"/>
    </x:xf>
    <x:xf numFmtId="0" fontId="8" fillId="6" borderId="19" xfId="0" applyNumberFormat="1" applyFont="1" applyFill="1" applyBorder="1" applyAlignment="1">
      <x:alignment vertical="center" wrapText="1"/>
    </x:xf>
    <x:xf numFmtId="0" fontId="8" fillId="6" borderId="1" xfId="0" applyNumberFormat="1" applyFont="1" applyFill="1" applyBorder="1" applyAlignment="1">
      <x:alignment vertical="center" wrapText="1"/>
    </x:xf>
    <x:xf numFmtId="0" fontId="8" fillId="6" borderId="20" xfId="0" applyNumberFormat="1" applyFont="1" applyFill="1" applyBorder="1" applyAlignment="1">
      <x:alignment vertical="center" wrapText="1"/>
    </x:xf>
    <x:xf numFmtId="0" fontId="8" fillId="6" borderId="21" xfId="0" applyNumberFormat="1" applyFont="1" applyFill="1" applyBorder="1" applyAlignment="1">
      <x:alignment vertical="center" wrapText="1"/>
    </x:xf>
    <x:xf numFmtId="0" fontId="8" fillId="6" borderId="22" xfId="0" applyNumberFormat="1" applyFont="1" applyFill="1" applyBorder="1" applyAlignment="1">
      <x:alignment vertical="center" wrapText="1"/>
    </x:xf>
    <x:xf numFmtId="0" fontId="8" fillId="6" borderId="23" xfId="0" applyNumberFormat="1" applyFont="1" applyFill="1" applyBorder="1" applyAlignment="1">
      <x:alignment vertical="center" wrapText="1"/>
    </x:xf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horizontal="left"/>
    </x:xf>
    <x:xf numFmtId="0" fontId="9" fillId="2" borderId="1" xfId="0" applyNumberFormat="1" applyFont="1" applyFill="1" applyBorder="1"/>
    <x:xf numFmtId="0" fontId="9" fillId="2" borderId="1" xfId="0" applyNumberFormat="1" applyFont="1" applyFill="1" applyBorder="1" applyAlignment="1">
      <x:alignment horizontal="left"/>
    </x:xf>
    <x:xf numFmtId="0" fontId="6" fillId="3" borderId="24" xfId="0" applyNumberFormat="1" applyFont="1" applyFill="1" applyBorder="1"/>
    <x:xf numFmtId="0" fontId="6" fillId="3" borderId="25" xfId="0" applyNumberFormat="1" applyFont="1" applyFill="1" applyBorder="1"/>
    <x:xf numFmtId="0" fontId="6" fillId="3" borderId="26" xfId="0" applyNumberFormat="1" applyFont="1" applyFill="1" applyBorder="1"/>
    <x:xf numFmtId="0" fontId="6" fillId="3" borderId="27" xfId="0" applyNumberFormat="1" applyFont="1" applyFill="1" applyBorder="1"/>
    <x:xf numFmtId="0" fontId="6" fillId="3" borderId="28" xfId="0" applyNumberFormat="1" applyFont="1" applyFill="1" applyBorder="1"/>
    <x:xf numFmtId="0" fontId="6" fillId="3" borderId="29" xfId="0" applyNumberFormat="1" applyFont="1" applyFill="1" applyBorder="1"/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0" borderId="26" xfId="0" applyNumberFormat="1" applyFont="1" applyFill="1" applyBorder="1"/>
    <x:xf numFmtId="0" fontId="0" fillId="0" borderId="24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  <x:xf numFmtId="0" fontId="0" fillId="0" borderId="26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vertical="top" wrapText="1"/>
    </x:xf>
    <x:xf numFmtId="0" fontId="0" fillId="0" borderId="25" xfId="0" applyNumberFormat="1" applyFont="1" applyFill="1" applyBorder="1" applyAlignment="1">
      <x:alignment vertical="top" wrapText="1"/>
    </x:xf>
    <x:xf numFmtId="0" fontId="0" fillId="0" borderId="26" xfId="0" applyNumberFormat="1" applyFont="1" applyFill="1" applyBorder="1" applyAlignment="1">
      <x:alignment vertical="top" wrapText="1"/>
    </x:xf>
    <x:xf numFmtId="0" fontId="0" fillId="0" borderId="27" xfId="0" applyNumberFormat="1" applyFont="1" applyFill="1" applyBorder="1"/>
    <x:xf numFmtId="0" fontId="0" fillId="0" borderId="28" xfId="0" applyNumberFormat="1" applyFont="1" applyFill="1" applyBorder="1"/>
    <x:xf numFmtId="0" fontId="0" fillId="0" borderId="29" xfId="0" applyNumberFormat="1" applyFont="1" applyFill="1" applyBorder="1"/>
    <x:xf numFmtId="0" fontId="0" fillId="0" borderId="27" xfId="0" applyNumberFormat="1" applyFont="1" applyFill="1" applyBorder="1" applyAlignment="1">
      <x:alignment wrapText="1"/>
    </x:xf>
    <x:xf numFmtId="0" fontId="0" fillId="0" borderId="28" xfId="0" applyNumberFormat="1" applyFont="1" applyFill="1" applyBorder="1" applyAlignment="1">
      <x:alignment wrapText="1"/>
    </x:xf>
    <x:xf numFmtId="0" fontId="0" fillId="0" borderId="29" xfId="0" applyNumberFormat="1" applyFont="1" applyFill="1" applyBorder="1" applyAlignment="1">
      <x:alignment wrapText="1"/>
    </x:xf>
    <x:xf numFmtId="0" fontId="0" fillId="0" borderId="27" xfId="0" applyNumberFormat="1" applyFont="1" applyFill="1" applyBorder="1" applyAlignment="1">
      <x:alignment vertical="top" wrapText="1"/>
    </x:xf>
    <x:xf numFmtId="0" fontId="0" fillId="0" borderId="28" xfId="0" applyNumberFormat="1" applyFont="1" applyFill="1" applyBorder="1" applyAlignment="1">
      <x:alignment vertical="top" wrapText="1"/>
    </x:xf>
    <x:xf numFmtId="0" fontId="0" fillId="0" borderId="29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0" borderId="18" xfId="0" applyNumberFormat="1" applyFont="1" applyFill="1" applyBorder="1" applyAlignment="1">
      <x:alignment vertical="center" wrapText="1"/>
    </x:xf>
    <x:xf numFmtId="0" fontId="0" fillId="0" borderId="19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20" xfId="0" applyNumberFormat="1" applyFont="1" applyFill="1" applyBorder="1" applyAlignment="1">
      <x:alignment vertical="center" wrapText="1"/>
    </x:xf>
    <x:xf numFmtId="0" fontId="0" fillId="0" borderId="21" xfId="0" applyNumberFormat="1" applyFont="1" applyFill="1" applyBorder="1" applyAlignment="1">
      <x:alignment vertical="center" wrapText="1"/>
    </x:xf>
    <x:xf numFmtId="0" fontId="0" fillId="0" borderId="22" xfId="0" applyNumberFormat="1" applyFont="1" applyFill="1" applyBorder="1" applyAlignment="1">
      <x:alignment vertical="center" wrapText="1"/>
    </x:xf>
    <x:xf numFmtId="0" fontId="0" fillId="0" borderId="23" xfId="0" applyNumberFormat="1" applyFont="1" applyFill="1" applyBorder="1" applyAlignment="1">
      <x:alignment vertical="center" wrapText="1"/>
    </x:xf>
    <x:xf numFmtId="200" fontId="0" fillId="0" borderId="9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4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1">
    <x:dxf>
      <x:font>
        <x:b/>
        <x:color rgb="FF24643C"/>
      </x:font>
      <x:fill>
        <x:patternFill patternType="solid">
          <x:bgColor rgb="FFDFF3E7"/>
        </x:patternFill>
      </x:fill>
    </x:dxf>
    <x:dxf>
      <x:font>
        <x:color rgb="FF718795"/>
      </x:font>
      <x:fill>
        <x:patternFill patternType="solid">
          <x:bgColor rgb="FFF2F6F8"/>
        </x:patternFill>
      </x:fill>
    </x:dxf>
    <x:dxf>
      <x:font>
        <x:b/>
        <x:color rgb="FF24643C"/>
      </x:font>
      <x:fill>
        <x:patternFill patternType="solid">
          <x:bgColor rgb="FFDFF3E7"/>
        </x:patternFill>
      </x:fill>
    </x:dxf>
    <x:dxf>
      <x:font>
        <x:color rgb="FF718795"/>
      </x:font>
      <x:fill>
        <x:patternFill patternType="solid">
          <x:bgColor rgb="FFF2F6F8"/>
        </x:patternFill>
      </x:fill>
    </x:dxf>
    <x:dxf>
      <x:font>
        <x:b/>
        <x:color rgb="FF24643C"/>
      </x:font>
      <x:fill>
        <x:patternFill patternType="solid">
          <x:bgColor rgb="FFDFF3E7"/>
        </x:patternFill>
      </x:fill>
    </x:dxf>
    <x:dxf>
      <x:font>
        <x:b/>
        <x:color rgb="FF805700"/>
      </x:font>
      <x:fill>
        <x:patternFill patternType="solid">
          <x:bgColor rgb="FFFFF1CF"/>
        </x:patternFill>
      </x:fill>
    </x:dxf>
    <x:dxf>
      <x:font>
        <x:b/>
        <x:color rgb="FF24643C"/>
      </x:font>
      <x:fill>
        <x:patternFill patternType="solid">
          <x:bgColor rgb="FFDFF3E7"/>
        </x:patternFill>
      </x:fill>
    </x:dxf>
    <x:dxf>
      <x:font>
        <x:color rgb="FF718795"/>
      </x:font>
      <x:fill>
        <x:patternFill patternType="solid">
          <x:bgColor rgb="FFF2F6F8"/>
        </x:patternFill>
      </x:fill>
    </x:dxf>
    <x:dxf>
      <x:font>
        <x:b/>
        <x:color rgb="FF24643C"/>
      </x:font>
      <x:fill>
        <x:patternFill patternType="solid">
          <x:bgColor rgb="FFDFF3E7"/>
        </x:patternFill>
      </x:fill>
    </x:dxf>
    <x:dxf>
      <x:font>
        <x:b/>
        <x:color rgb="FF24643C"/>
      </x:font>
      <x:fill>
        <x:patternFill patternType="solid">
          <x:bgColor rgb="FFDFF3E7"/>
        </x:patternFill>
      </x:fill>
    </x:dxf>
    <x:dxf>
      <x:font>
        <x:color rgb="FF718795"/>
      </x:font>
      <x:fill>
        <x:patternFill patternType="solid">
          <x:bgColor rgb="FFF2F6F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74f20478004e25" /><Relationship Type="http://schemas.openxmlformats.org/officeDocument/2006/relationships/theme" Target="/xl/theme/theme1.xml" Id="Ref7d3c1764df47b0" /><Relationship Type="http://schemas.openxmlformats.org/officeDocument/2006/relationships/sharedStrings" Target="/xl/sharedStrings.xml" Id="R0d86f5ae69784105" /><Relationship Type="http://schemas.openxmlformats.org/officeDocument/2006/relationships/worksheet" Target="/xl/worksheets/sheet1.xml" Id="R5e7deb398bbf4407" /><Relationship Type="http://schemas.openxmlformats.org/officeDocument/2006/relationships/worksheet" Target="/xl/worksheets/sheet2.xml" Id="R7a4f27a70e2f4494" /><Relationship Type="http://schemas.openxmlformats.org/officeDocument/2006/relationships/worksheet" Target="/xl/worksheets/sheet3.xml" Id="R6e491912c36447d9" /><Relationship Type="http://schemas.openxmlformats.org/officeDocument/2006/relationships/worksheet" Target="/xl/worksheets/sheet4.xml" Id="R7cc2f9a17e68456b" /><Relationship Type="http://schemas.openxmlformats.org/officeDocument/2006/relationships/worksheet" Target="/xl/worksheets/sheet5.xml" Id="R1b2a666f2ee1447a" /><Relationship Type="http://schemas.openxmlformats.org/officeDocument/2006/relationships/worksheet" Target="/xl/worksheets/sheet6.xml" Id="Rc7a97c9c971842d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73311cf0cd44fc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1233회까지 3개 이상 경과 성적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3개+ 관측</c:v>
          </c:tx>
          <c:cat>
            <c:strRef>
              <c:f>'요약'!$A$27:$A$30</c:f>
              <c:strCache>
                <c:ptCount val="0"/>
              </c:strCache>
            </c:strRef>
          </c:cat>
          <c:val>
            <c:numRef>
              <c:f>'요약'!$B$27:$B$30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조건부 기대</c:v>
          </c:tx>
          <c:cat>
            <c:strRef>
              <c:f>'요약'!$A$27:$A$30</c:f>
              <c:strCache>
                <c:ptCount val="0"/>
              </c:strCache>
            </c:strRef>
          </c:cat>
          <c:val>
            <c:numRef>
              <c:f>'요약'!$C$27:$C$30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25</xdr:row>
      <xdr:rowOff>0</xdr:rowOff>
    </xdr:from>
    <xdr:to>
      <xdr:col>12</xdr:col>
      <xdr:colOff>0</xdr:colOff>
      <xdr:row>41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73311cf0cd44fc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af5c2745472457b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 ht="34" customHeight="1">
      <x:c r="A1" s="5" t="str">
        <x:v>새 기준 13차 · 신규 구간 사전등록 추적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50" customHeight="1">
      <x:c r="A2" s="15" t="str">
        <x:v>1215·1220·1225·1230회 종료 이동창의 상태와 순수 3수 분산 5세트를 먼저 고정했습니다. 1233회까지의 결과는 경과 성적에만 사용했고, 번호 선정·상태 문턱·20회 수명은 변경하지 않았습니다.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7"/>
    </x:row>
    <x:row r="4">
      <x:c r="A4" s="34" t="str">
        <x:v>사전등록 창</x:v>
      </x:c>
      <x:c r="B4" s="35"/>
      <x:c r="C4" s="36"/>
      <x:c r="D4" s="34" t="str">
        <x:v>가동 상태</x:v>
      </x:c>
      <x:c r="E4" s="35"/>
      <x:c r="F4" s="36"/>
      <x:c r="G4" s="34" t="str">
        <x:v>공식·그림자 세트</x:v>
      </x:c>
      <x:c r="H4" s="35"/>
      <x:c r="I4" s="36"/>
      <x:c r="J4" s="34" t="str">
        <x:v>공식 경과 3개+</x:v>
      </x:c>
      <x:c r="K4" s="35"/>
      <x:c r="L4" s="36"/>
    </x:row>
    <x:row r="5">
      <x:c r="A5" s="56" t="n">
        <x:v>4</x:v>
      </x:c>
      <x:c r="B5" s="57"/>
      <x:c r="C5" s="58"/>
      <x:c r="D5" s="56" t="str">
        <x:v>1 / 4</x:v>
      </x:c>
      <x:c r="E5" s="57"/>
      <x:c r="F5" s="58"/>
      <x:c r="G5" s="56" t="str">
        <x:v>5 · 15</x:v>
      </x:c>
      <x:c r="H5" s="57"/>
      <x:c r="I5" s="58"/>
      <x:c r="J5" s="56" t="n">
        <x:v>1</x:v>
      </x:c>
      <x:c r="K5" s="57"/>
      <x:c r="L5" s="58"/>
    </x:row>
    <x:row r="6">
      <x:c r="A6" s="74" t="str">
        <x:v>5회 이동 · 45회 입력</x:v>
      </x:c>
      <x:c r="B6" s="75"/>
      <x:c r="C6" s="76"/>
      <x:c r="D6" s="74" t="str">
        <x:v>1225회 종료 창</x:v>
      </x:c>
      <x:c r="E6" s="75"/>
      <x:c r="F6" s="76"/>
      <x:c r="G6" s="74" t="str">
        <x:v>가동 5세트 · 휴식 15세트</x:v>
      </x:c>
      <x:c r="H6" s="75"/>
      <x:c r="I6" s="76"/>
      <x:c r="J6" s="74" t="str">
        <x:v>조건부 기대 1.00</x:v>
      </x:c>
      <x:c r="K6" s="75"/>
      <x:c r="L6" s="76"/>
    </x:row>
    <x:row r="7">
      <x:c r="A7" s="34" t="str">
        <x:v>공식 경과 4개+</x:v>
      </x:c>
      <x:c r="B7" s="35"/>
      <x:c r="C7" s="36"/>
      <x:c r="D7" s="34" t="str">
        <x:v>고유 적중 사건</x:v>
      </x:c>
      <x:c r="E7" s="35"/>
      <x:c r="F7" s="36"/>
      <x:c r="G7" s="34" t="str">
        <x:v>첫 공식 완결</x:v>
      </x:c>
      <x:c r="H7" s="35"/>
      <x:c r="I7" s="36"/>
      <x:c r="J7" s="34" t="str">
        <x:v>사전등록 해시</x:v>
      </x:c>
      <x:c r="K7" s="35"/>
      <x:c r="L7" s="36"/>
    </x:row>
    <x:row r="8">
      <x:c r="A8" s="56" t="n">
        <x:v>0</x:v>
      </x:c>
      <x:c r="B8" s="57"/>
      <x:c r="C8" s="58"/>
      <x:c r="D8" s="56" t="n">
        <x:v>1</x:v>
      </x:c>
      <x:c r="E8" s="57"/>
      <x:c r="F8" s="58"/>
      <x:c r="G8" s="56" t="str">
        <x:v>1245회</x:v>
      </x:c>
      <x:c r="H8" s="57"/>
      <x:c r="I8" s="58"/>
      <x:c r="J8" s="56" t="str">
        <x:v>2d5de5075923</x:v>
      </x:c>
      <x:c r="K8" s="57"/>
      <x:c r="L8" s="58"/>
    </x:row>
    <x:row r="9">
      <x:c r="A9" s="74" t="str">
        <x:v>조건부 기대 0.00</x:v>
      </x:c>
      <x:c r="B9" s="75"/>
      <x:c r="C9" s="76"/>
      <x:c r="D9" s="74" t="str">
        <x:v>원시 기록 3건</x:v>
      </x:c>
      <x:c r="E9" s="75"/>
      <x:c r="F9" s="76"/>
      <x:c r="G9" s="74" t="str">
        <x:v>1225회 종료 가동 창</x:v>
      </x:c>
      <x:c r="H9" s="75"/>
      <x:c r="I9" s="76"/>
      <x:c r="J9" s="74" t="str">
        <x:v>SHA-256 앞 12자리</x:v>
      </x:c>
      <x:c r="K9" s="75"/>
      <x:c r="L9" s="76"/>
    </x:row>
    <x:row r="11">
      <x:c r="A11" s="34" t="str">
        <x:v>신규 4개 이동창 상태</x:v>
      </x:c>
      <x:c r="B11" s="35"/>
      <x:c r="C11" s="35"/>
      <x:c r="D11" s="35"/>
      <x:c r="E11" s="35"/>
      <x:c r="F11" s="35"/>
      <x:c r="G11" s="35"/>
      <x:c r="H11" s="35"/>
      <x:c r="I11" s="35"/>
      <x:c r="J11" s="35"/>
      <x:c r="K11" s="35"/>
      <x:c r="L11" s="36"/>
    </x:row>
    <x:row r="12">
      <x:c r="A12" s="91" t="str">
        <x:v>입력 회차</x:v>
      </x:c>
      <x:c r="B12" s="92" t="str">
        <x:v>추적 회차</x:v>
      </x:c>
      <x:c r="C12" s="92" t="str">
        <x:v>상태</x:v>
      </x:c>
      <x:c r="D12" s="92" t="str">
        <x:v>건강 점수</x:v>
      </x:c>
      <x:c r="E12" s="92" t="str">
        <x:v>등록 구분</x:v>
      </x:c>
      <x:c r="F12" s="92" t="str">
        <x:v>경과</x:v>
      </x:c>
      <x:c r="G12" s="92" t="str">
        <x:v>남은 회차</x:v>
      </x:c>
      <x:c r="H12" s="92" t="str">
        <x:v>3개+ 관측</x:v>
      </x:c>
      <x:c r="I12" s="92" t="str">
        <x:v>3개+ 기대</x:v>
      </x:c>
      <x:c r="J12" s="92" t="str">
        <x:v>4개+ 관측</x:v>
      </x:c>
      <x:c r="K12" s="92" t="str">
        <x:v>4개+ 기대</x:v>
      </x:c>
      <x:c r="L12" s="93" t="str">
        <x:v>완결 회차</x:v>
      </x:c>
    </x:row>
    <x:row r="13">
      <x:c r="A13" s="122" t="str">
        <x:v>1171~1215</x:v>
      </x:c>
      <x:c r="B13" s="123" t="str">
        <x:v>1216~1235</x:v>
      </x:c>
      <x:c r="C13" s="123" t="str">
        <x:v>휴식</x:v>
      </x:c>
      <x:c r="D13" s="157" t="n">
        <x:v>-2.664280894544052</x:v>
      </x:c>
      <x:c r="E13" s="123" t="str">
        <x:v>그림자 기록</x:v>
      </x:c>
      <x:c r="F13" s="123" t="str">
        <x:v>18/20</x:v>
      </x:c>
      <x:c r="G13" s="123" t="n">
        <x:v>2</x:v>
      </x:c>
      <x:c r="H13" s="123" t="n">
        <x:v>1</x:v>
      </x:c>
      <x:c r="I13" s="157" t="n">
        <x:v>0.9722222222222222</x:v>
      </x:c>
      <x:c r="J13" s="123" t="n">
        <x:v>0</x:v>
      </x:c>
      <x:c r="K13" s="157" t="n">
        <x:v>0.1388888888888889</x:v>
      </x:c>
      <x:c r="L13" s="124" t="n">
        <x:v>1235</x:v>
      </x:c>
    </x:row>
    <x:row r="14">
      <x:c r="A14" s="125" t="str">
        <x:v>1176~1220</x:v>
      </x:c>
      <x:c r="B14" s="126" t="str">
        <x:v>1221~1240</x:v>
      </x:c>
      <x:c r="C14" s="126" t="str">
        <x:v>휴식</x:v>
      </x:c>
      <x:c r="D14" s="158" t="n">
        <x:v>-0.5115031167662745</x:v>
      </x:c>
      <x:c r="E14" s="126" t="str">
        <x:v>그림자 기록</x:v>
      </x:c>
      <x:c r="F14" s="126" t="str">
        <x:v>13/20</x:v>
      </x:c>
      <x:c r="G14" s="126" t="n">
        <x:v>7</x:v>
      </x:c>
      <x:c r="H14" s="126" t="n">
        <x:v>1</x:v>
      </x:c>
      <x:c r="I14" s="158" t="n">
        <x:v>1.1764705882352942</x:v>
      </x:c>
      <x:c r="J14" s="126" t="n">
        <x:v>0</x:v>
      </x:c>
      <x:c r="K14" s="158" t="n">
        <x:v>0.29411764705882354</x:v>
      </x:c>
      <x:c r="L14" s="127" t="n">
        <x:v>1240</x:v>
      </x:c>
    </x:row>
    <x:row r="15">
      <x:c r="A15" s="125" t="str">
        <x:v>1181~1225</x:v>
      </x:c>
      <x:c r="B15" s="126" t="str">
        <x:v>1226~1245</x:v>
      </x:c>
      <x:c r="C15" s="126" t="str">
        <x:v>가동</x:v>
      </x:c>
      <x:c r="D15" s="158" t="n">
        <x:v>0.34544695071010856</x:v>
      </x:c>
      <x:c r="E15" s="126" t="str">
        <x:v>공식 출전</x:v>
      </x:c>
      <x:c r="F15" s="126" t="str">
        <x:v>8/20</x:v>
      </x:c>
      <x:c r="G15" s="126" t="n">
        <x:v>12</x:v>
      </x:c>
      <x:c r="H15" s="126" t="n">
        <x:v>1</x:v>
      </x:c>
      <x:c r="I15" s="158" t="n">
        <x:v>1</x:v>
      </x:c>
      <x:c r="J15" s="126" t="n">
        <x:v>0</x:v>
      </x:c>
      <x:c r="K15" s="158" t="n">
        <x:v>0</x:v>
      </x:c>
      <x:c r="L15" s="127" t="n">
        <x:v>1245</x:v>
      </x:c>
    </x:row>
    <x:row r="16">
      <x:c r="A16" s="128" t="str">
        <x:v>1186~1230</x:v>
      </x:c>
      <x:c r="B16" s="129" t="str">
        <x:v>1231~1250</x:v>
      </x:c>
      <x:c r="C16" s="129" t="str">
        <x:v>휴식</x:v>
      </x:c>
      <x:c r="D16" s="159" t="n">
        <x:v>-0.02736006683375125</x:v>
      </x:c>
      <x:c r="E16" s="129" t="str">
        <x:v>그림자 기록</x:v>
      </x:c>
      <x:c r="F16" s="129" t="str">
        <x:v>3/20</x:v>
      </x:c>
      <x:c r="G16" s="129" t="n">
        <x:v>17</x:v>
      </x:c>
      <x:c r="H16" s="129" t="n">
        <x:v>0</x:v>
      </x:c>
      <x:c r="I16" s="159" t="n">
        <x:v>0.4166666666666667</x:v>
      </x:c>
      <x:c r="J16" s="129" t="n">
        <x:v>0</x:v>
      </x:c>
      <x:c r="K16" s="159" t="n">
        <x:v>0</x:v>
      </x:c>
      <x:c r="L16" s="130" t="n">
        <x:v>1250</x:v>
      </x:c>
    </x:row>
    <x:row r="19">
      <x:c r="A19" s="34" t="str">
        <x:v>현재 해석</x:v>
      </x:c>
      <x:c r="B19" s="35"/>
      <x:c r="C19" s="35"/>
      <x:c r="D19" s="35"/>
      <x:c r="E19" s="35"/>
      <x:c r="F19" s="35"/>
      <x:c r="G19" s="35"/>
      <x:c r="H19" s="35"/>
      <x:c r="I19" s="35"/>
      <x:c r="J19" s="35"/>
      <x:c r="K19" s="35"/>
      <x:c r="L19" s="36"/>
    </x:row>
    <x:row r="20">
      <x:c r="A20" s="164" t="str">
        <x:v>공식 가동 창</x:v>
      </x:c>
      <x:c r="B20" s="165"/>
      <x:c r="C20" s="186" t="str">
        <x:v>1225회 종료 창 하나입니다. 현재 8/20회 경과했고 3개+ 1건, 4개+ 0건으로 조건부 기대와 거의 같은 중립 상태입니다.</x:v>
      </x:c>
      <x:c r="D20" s="187"/>
      <x:c r="E20" s="187"/>
      <x:c r="F20" s="187"/>
      <x:c r="G20" s="187"/>
      <x:c r="H20" s="187"/>
      <x:c r="I20" s="187"/>
      <x:c r="J20" s="187"/>
      <x:c r="K20" s="187"/>
      <x:c r="L20" s="188"/>
    </x:row>
    <x:row r="21">
      <x:c r="A21" s="166" t="str">
        <x:v>휴식 판정</x:v>
      </x:c>
      <x:c r="B21" s="167"/>
      <x:c r="C21" s="189" t="str">
        <x:v>1215·1220·1230회 종료 창은 그림자 기록입니다. 특히 1230회 창은 건강 점수 -0.027로 문턱 바로 아래지만 사후 문턱 이동은 하지 않습니다.</x:v>
      </x:c>
      <x:c r="D21" s="190"/>
      <x:c r="E21" s="190"/>
      <x:c r="F21" s="190"/>
      <x:c r="G21" s="190"/>
      <x:c r="H21" s="190"/>
      <x:c r="I21" s="190"/>
      <x:c r="J21" s="190"/>
      <x:c r="K21" s="190"/>
      <x:c r="L21" s="191"/>
    </x:row>
    <x:row r="22">
      <x:c r="A22" s="166" t="str">
        <x:v>중첩 적중</x:v>
      </x:c>
      <x:c r="B22" s="167"/>
      <x:c r="C22" s="189" t="str">
        <x:v>1228회의 24·31·44 적중은 세 이동창에 반복 기록됐지만, 같은 예측번호와 당첨회차이므로 고유 사건은 1건입니다.</x:v>
      </x:c>
      <x:c r="D22" s="190"/>
      <x:c r="E22" s="190"/>
      <x:c r="F22" s="190"/>
      <x:c r="G22" s="190"/>
      <x:c r="H22" s="190"/>
      <x:c r="I22" s="190"/>
      <x:c r="J22" s="190"/>
      <x:c r="K22" s="190"/>
      <x:c r="L22" s="191"/>
    </x:row>
    <x:row r="23">
      <x:c r="A23" s="168" t="str">
        <x:v>첫 완결</x:v>
      </x:c>
      <x:c r="B23" s="169"/>
      <x:c r="C23" s="192" t="str">
        <x:v>1235회에 첫 휴식 창이 완결되고, 1245회에 첫 공식 가동 창이 완결됩니다. 공식 모델 평가는 1245회부터 본격 시작됩니다.</x:v>
      </x:c>
      <x:c r="D23" s="193"/>
      <x:c r="E23" s="193"/>
      <x:c r="F23" s="193"/>
      <x:c r="G23" s="193"/>
      <x:c r="H23" s="193"/>
      <x:c r="I23" s="193"/>
      <x:c r="J23" s="193"/>
      <x:c r="K23" s="193"/>
      <x:c r="L23" s="194"/>
    </x:row>
    <x:row r="26">
      <x:c r="A26" t="str">
        <x:v>입력 종료</x:v>
      </x:c>
      <x:c r="B26" t="str">
        <x:v>3개+ 관측</x:v>
      </x:c>
      <x:c r="C26" t="str">
        <x:v>조건부 기대</x:v>
      </x:c>
    </x:row>
    <x:row r="27">
      <x:c r="A27" t="n">
        <x:v>1215</x:v>
      </x:c>
      <x:c r="B27" t="n">
        <x:v>1</x:v>
      </x:c>
      <x:c r="C27" t="n">
        <x:v>0.9722222222222222</x:v>
      </x:c>
    </x:row>
    <x:row r="28">
      <x:c r="A28" t="n">
        <x:v>1220</x:v>
      </x:c>
      <x:c r="B28" t="n">
        <x:v>1</x:v>
      </x:c>
      <x:c r="C28" t="n">
        <x:v>1.1764705882352942</x:v>
      </x:c>
    </x:row>
    <x:row r="29">
      <x:c r="A29" t="n">
        <x:v>1225</x:v>
      </x:c>
      <x:c r="B29" t="n">
        <x:v>1</x:v>
      </x:c>
      <x:c r="C29" t="n">
        <x:v>1</x:v>
      </x:c>
    </x:row>
    <x:row r="30">
      <x:c r="A30" t="n">
        <x:v>1230</x:v>
      </x:c>
      <x:c r="B30" t="n">
        <x:v>0</x:v>
      </x:c>
      <x:c r="C30" t="n">
        <x:v>0.4166666666666667</x:v>
      </x:c>
    </x:row>
  </x:sheetData>
  <x:mergeCells>
    <x:mergeCell ref="A1:L1"/>
    <x:mergeCell ref="A2:L2"/>
    <x:mergeCell ref="A4:C4"/>
    <x:mergeCell ref="A5:C5"/>
    <x:mergeCell ref="A6:C6"/>
    <x:mergeCell ref="D4:F4"/>
    <x:mergeCell ref="D5:F5"/>
    <x:mergeCell ref="D6:F6"/>
    <x:mergeCell ref="G4:I4"/>
    <x:mergeCell ref="G5:I5"/>
    <x:mergeCell ref="G6:I6"/>
    <x:mergeCell ref="J4:L4"/>
    <x:mergeCell ref="J5:L5"/>
    <x:mergeCell ref="J6:L6"/>
    <x:mergeCell ref="A7:C7"/>
    <x:mergeCell ref="A8:C8"/>
    <x:mergeCell ref="A9:C9"/>
    <x:mergeCell ref="D7:F7"/>
    <x:mergeCell ref="D8:F8"/>
    <x:mergeCell ref="D9:F9"/>
    <x:mergeCell ref="G7:I7"/>
    <x:mergeCell ref="G8:I8"/>
    <x:mergeCell ref="G9:I9"/>
    <x:mergeCell ref="J7:L7"/>
    <x:mergeCell ref="J8:L8"/>
    <x:mergeCell ref="J9:L9"/>
    <x:mergeCell ref="A11:L11"/>
    <x:mergeCell ref="A19:L19"/>
  </x:mergeCells>
  <x:conditionalFormatting sqref="C13:C16">
    <x:cfRule type="expression" dxfId="0" priority="1">
      <x:formula>C13="가동"</x:formula>
    </x:cfRule>
    <x:cfRule type="expression" dxfId="1" priority="2">
      <x:formula>C13="휴식"</x:formula>
    </x:cfRule>
  </x:conditionalFormatting>
  <x:conditionalFormatting sqref="D13:D16">
    <x:cfRule type="colorScale" priority="3">
      <x:colorScale>
        <x:cfvo type="min"/>
        <x:cfvo type="percentile" val="50"/>
        <x:cfvo type="max"/>
        <x:color rgb="FFFBE4ED"/>
        <x:color rgb="FFF8FBFD"/>
        <x:color rgb="FFDFF3E7"/>
      </x:colorScale>
    </x:cfRule>
  </x:conditionalFormatting>
  <x:pageMargins left="0.7" right="0.7" top="0.75" bottom="0.75" header="0.3" footer="0.3"/>
  <x:drawing xmlns:r="http://schemas.openxmlformats.org/officeDocument/2006/relationships" r:id="R9af5c2745472457b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4.25" hidden="0" customWidth="1"/>
    <x:col min="4" max="4" width="10.130000114440918" hidden="0" customWidth="1"/>
    <x:col min="5" max="5" width="10.880000114440918" hidden="0" customWidth="1"/>
    <x:col min="6" max="6" width="4.25" hidden="0" customWidth="1"/>
    <x:col min="7" max="7" width="10.130000114440918" hidden="0" customWidth="1"/>
    <x:col min="8" max="8" width="25" hidden="0" customWidth="1"/>
    <x:col min="9" max="9" width="5" hidden="0" customWidth="1"/>
    <x:col min="10" max="10" width="4.25" hidden="0" customWidth="1"/>
    <x:col min="11" max="11" width="4.25" hidden="0" customWidth="1"/>
    <x:col min="12" max="12" width="4.25" hidden="0" customWidth="1"/>
    <x:col min="13" max="13" width="38" hidden="0" customWidth="1"/>
    <x:col min="14" max="14" width="20" hidden="0" customWidth="1"/>
  </x:cols>
  <x:sheetData>
    <x:row r="1">
      <x:c r="A1" s="91" t="str">
        <x:v>입력 회차</x:v>
      </x:c>
      <x:c r="B1" s="92" t="str">
        <x:v>추적 회차</x:v>
      </x:c>
      <x:c r="C1" s="92" t="str">
        <x:v>상태</x:v>
      </x:c>
      <x:c r="D1" s="92" t="str">
        <x:v>등록 구분</x:v>
      </x:c>
      <x:c r="E1" s="92" t="str">
        <x:v>건강 점수</x:v>
      </x:c>
      <x:c r="F1" s="92" t="str">
        <x:v>순위</x:v>
      </x:c>
      <x:c r="G1" s="92" t="str">
        <x:v>대각선 시작</x:v>
      </x:c>
      <x:c r="H1" s="92" t="str">
        <x:v>고정 예측번호</x:v>
      </x:c>
      <x:c r="I1" s="92" t="str">
        <x:v>경과</x:v>
      </x:c>
      <x:c r="J1" s="92" t="str">
        <x:v>3개+</x:v>
      </x:c>
      <x:c r="K1" s="92" t="str">
        <x:v>4개+</x:v>
      </x:c>
      <x:c r="L1" s="92" t="str">
        <x:v>5개+</x:v>
      </x:c>
      <x:c r="M1" s="92" t="str">
        <x:v>적중 사건</x:v>
      </x:c>
      <x:c r="N1" s="93" t="str">
        <x:v>레코드 해시</x:v>
      </x:c>
    </x:row>
    <x:row r="2">
      <x:c r="A2" s="213" t="str">
        <x:v>1171~1215</x:v>
      </x:c>
      <x:c r="B2" s="214" t="str">
        <x:v>1216~1235</x:v>
      </x:c>
      <x:c r="C2" s="214" t="str">
        <x:v>휴식</x:v>
      </x:c>
      <x:c r="D2" s="214" t="str">
        <x:v>그림자 기록</x:v>
      </x:c>
      <x:c r="E2" s="214" t="n">
        <x:v>-2.664280894544052</x:v>
      </x:c>
      <x:c r="F2" s="214" t="n">
        <x:v>1</x:v>
      </x:c>
      <x:c r="G2" s="214" t="n">
        <x:v>39</x:v>
      </x:c>
      <x:c r="H2" s="214" t="str">
        <x:v>2 · 24 · 26 · 27 · 31 · 44</x:v>
      </x:c>
      <x:c r="I2" s="214" t="str">
        <x:v>18/20</x:v>
      </x:c>
      <x:c r="J2" s="214" t="n">
        <x:v>1</x:v>
      </x:c>
      <x:c r="K2" s="214" t="n">
        <x:v>0</x:v>
      </x:c>
      <x:c r="L2" s="214" t="n">
        <x:v>0</x:v>
      </x:c>
      <x:c r="M2" s="214" t="str">
        <x:v>1228회 3개(24 · 31 · 44)</x:v>
      </x:c>
      <x:c r="N2" s="215" t="str">
        <x:v>575af0cdc78fdf32</x:v>
      </x:c>
    </x:row>
    <x:row r="3">
      <x:c r="A3" s="216" t="str">
        <x:v>1171~1215</x:v>
      </x:c>
      <x:c r="B3" s="217" t="str">
        <x:v>1216~1235</x:v>
      </x:c>
      <x:c r="C3" s="217" t="str">
        <x:v>휴식</x:v>
      </x:c>
      <x:c r="D3" s="217" t="str">
        <x:v>그림자 기록</x:v>
      </x:c>
      <x:c r="E3" s="217" t="n">
        <x:v>-2.664280894544052</x:v>
      </x:c>
      <x:c r="F3" s="217" t="n">
        <x:v>2</x:v>
      </x:c>
      <x:c r="G3" s="217" t="n">
        <x:v>21</x:v>
      </x:c>
      <x:c r="H3" s="217" t="str">
        <x:v>1 · 9 · 19 · 28 · 29 · 37</x:v>
      </x:c>
      <x:c r="I3" s="217" t="str">
        <x:v>18/20</x:v>
      </x:c>
      <x:c r="J3" s="217" t="n">
        <x:v>0</x:v>
      </x:c>
      <x:c r="K3" s="217" t="n">
        <x:v>0</x:v>
      </x:c>
      <x:c r="L3" s="217" t="n">
        <x:v>0</x:v>
      </x:c>
      <x:c r="M3" s="217" t="str"/>
      <x:c r="N3" s="218" t="str">
        <x:v>575af0cdc78fdf32</x:v>
      </x:c>
    </x:row>
    <x:row r="4">
      <x:c r="A4" s="216" t="str">
        <x:v>1171~1215</x:v>
      </x:c>
      <x:c r="B4" s="217" t="str">
        <x:v>1216~1235</x:v>
      </x:c>
      <x:c r="C4" s="217" t="str">
        <x:v>휴식</x:v>
      </x:c>
      <x:c r="D4" s="217" t="str">
        <x:v>그림자 기록</x:v>
      </x:c>
      <x:c r="E4" s="217" t="n">
        <x:v>-2.664280894544052</x:v>
      </x:c>
      <x:c r="F4" s="217" t="n">
        <x:v>3</x:v>
      </x:c>
      <x:c r="G4" s="217" t="n">
        <x:v>41</x:v>
      </x:c>
      <x:c r="H4" s="217" t="str">
        <x:v>7 · 20 · 23 · 36 · 38 · 42</x:v>
      </x:c>
      <x:c r="I4" s="217" t="str">
        <x:v>18/20</x:v>
      </x:c>
      <x:c r="J4" s="217" t="n">
        <x:v>0</x:v>
      </x:c>
      <x:c r="K4" s="217" t="n">
        <x:v>0</x:v>
      </x:c>
      <x:c r="L4" s="217" t="n">
        <x:v>0</x:v>
      </x:c>
      <x:c r="M4" s="217" t="str"/>
      <x:c r="N4" s="218" t="str">
        <x:v>575af0cdc78fdf32</x:v>
      </x:c>
    </x:row>
    <x:row r="5">
      <x:c r="A5" s="216" t="str">
        <x:v>1171~1215</x:v>
      </x:c>
      <x:c r="B5" s="217" t="str">
        <x:v>1216~1235</x:v>
      </x:c>
      <x:c r="C5" s="217" t="str">
        <x:v>휴식</x:v>
      </x:c>
      <x:c r="D5" s="217" t="str">
        <x:v>그림자 기록</x:v>
      </x:c>
      <x:c r="E5" s="217" t="n">
        <x:v>-2.664280894544052</x:v>
      </x:c>
      <x:c r="F5" s="217" t="n">
        <x:v>4</x:v>
      </x:c>
      <x:c r="G5" s="217" t="n">
        <x:v>37</x:v>
      </x:c>
      <x:c r="H5" s="217" t="str">
        <x:v>3 · 10 · 16 · 30 · 35 · 40</x:v>
      </x:c>
      <x:c r="I5" s="217" t="str">
        <x:v>18/20</x:v>
      </x:c>
      <x:c r="J5" s="217" t="n">
        <x:v>0</x:v>
      </x:c>
      <x:c r="K5" s="217" t="n">
        <x:v>0</x:v>
      </x:c>
      <x:c r="L5" s="217" t="n">
        <x:v>0</x:v>
      </x:c>
      <x:c r="M5" s="217" t="str"/>
      <x:c r="N5" s="218" t="str">
        <x:v>575af0cdc78fdf32</x:v>
      </x:c>
    </x:row>
    <x:row r="6">
      <x:c r="A6" s="216" t="str">
        <x:v>1171~1215</x:v>
      </x:c>
      <x:c r="B6" s="217" t="str">
        <x:v>1216~1235</x:v>
      </x:c>
      <x:c r="C6" s="217" t="str">
        <x:v>휴식</x:v>
      </x:c>
      <x:c r="D6" s="217" t="str">
        <x:v>그림자 기록</x:v>
      </x:c>
      <x:c r="E6" s="217" t="n">
        <x:v>-2.664280894544052</x:v>
      </x:c>
      <x:c r="F6" s="217" t="n">
        <x:v>5</x:v>
      </x:c>
      <x:c r="G6" s="217" t="n">
        <x:v>34</x:v>
      </x:c>
      <x:c r="H6" s="217" t="str">
        <x:v>6 · 8 · 20 · 21 · 27 · 32</x:v>
      </x:c>
      <x:c r="I6" s="217" t="str">
        <x:v>18/20</x:v>
      </x:c>
      <x:c r="J6" s="217" t="n">
        <x:v>0</x:v>
      </x:c>
      <x:c r="K6" s="217" t="n">
        <x:v>0</x:v>
      </x:c>
      <x:c r="L6" s="217" t="n">
        <x:v>0</x:v>
      </x:c>
      <x:c r="M6" s="217" t="str"/>
      <x:c r="N6" s="218" t="str">
        <x:v>575af0cdc78fdf32</x:v>
      </x:c>
    </x:row>
    <x:row r="7">
      <x:c r="A7" s="216" t="str">
        <x:v>1176~1220</x:v>
      </x:c>
      <x:c r="B7" s="217" t="str">
        <x:v>1221~1240</x:v>
      </x:c>
      <x:c r="C7" s="217" t="str">
        <x:v>휴식</x:v>
      </x:c>
      <x:c r="D7" s="217" t="str">
        <x:v>그림자 기록</x:v>
      </x:c>
      <x:c r="E7" s="217" t="n">
        <x:v>-0.5115031167662745</x:v>
      </x:c>
      <x:c r="F7" s="217" t="n">
        <x:v>1</x:v>
      </x:c>
      <x:c r="G7" s="217" t="n">
        <x:v>34</x:v>
      </x:c>
      <x:c r="H7" s="217" t="str">
        <x:v>2 · 24 · 26 · 27 · 31 · 44</x:v>
      </x:c>
      <x:c r="I7" s="217" t="str">
        <x:v>13/20</x:v>
      </x:c>
      <x:c r="J7" s="217" t="n">
        <x:v>1</x:v>
      </x:c>
      <x:c r="K7" s="217" t="n">
        <x:v>0</x:v>
      </x:c>
      <x:c r="L7" s="217" t="n">
        <x:v>0</x:v>
      </x:c>
      <x:c r="M7" s="217" t="str">
        <x:v>1228회 3개(24 · 31 · 44)</x:v>
      </x:c>
      <x:c r="N7" s="218" t="str">
        <x:v>0a974be469745392</x:v>
      </x:c>
    </x:row>
    <x:row r="8">
      <x:c r="A8" s="216" t="str">
        <x:v>1176~1220</x:v>
      </x:c>
      <x:c r="B8" s="217" t="str">
        <x:v>1221~1240</x:v>
      </x:c>
      <x:c r="C8" s="217" t="str">
        <x:v>휴식</x:v>
      </x:c>
      <x:c r="D8" s="217" t="str">
        <x:v>그림자 기록</x:v>
      </x:c>
      <x:c r="E8" s="217" t="n">
        <x:v>-0.5115031167662745</x:v>
      </x:c>
      <x:c r="F8" s="217" t="n">
        <x:v>2</x:v>
      </x:c>
      <x:c r="G8" s="217" t="n">
        <x:v>16</x:v>
      </x:c>
      <x:c r="H8" s="217" t="str">
        <x:v>1 · 9 · 19 · 28 · 29 · 37</x:v>
      </x:c>
      <x:c r="I8" s="217" t="str">
        <x:v>13/20</x:v>
      </x:c>
      <x:c r="J8" s="217" t="n">
        <x:v>0</x:v>
      </x:c>
      <x:c r="K8" s="217" t="n">
        <x:v>0</x:v>
      </x:c>
      <x:c r="L8" s="217" t="n">
        <x:v>0</x:v>
      </x:c>
      <x:c r="M8" s="217" t="str"/>
      <x:c r="N8" s="218" t="str">
        <x:v>0a974be469745392</x:v>
      </x:c>
    </x:row>
    <x:row r="9">
      <x:c r="A9" s="216" t="str">
        <x:v>1176~1220</x:v>
      </x:c>
      <x:c r="B9" s="217" t="str">
        <x:v>1221~1240</x:v>
      </x:c>
      <x:c r="C9" s="217" t="str">
        <x:v>휴식</x:v>
      </x:c>
      <x:c r="D9" s="217" t="str">
        <x:v>그림자 기록</x:v>
      </x:c>
      <x:c r="E9" s="217" t="n">
        <x:v>-0.5115031167662745</x:v>
      </x:c>
      <x:c r="F9" s="217" t="n">
        <x:v>3</x:v>
      </x:c>
      <x:c r="G9" s="217" t="n">
        <x:v>36</x:v>
      </x:c>
      <x:c r="H9" s="217" t="str">
        <x:v>7 · 20 · 23 · 36 · 38 · 42</x:v>
      </x:c>
      <x:c r="I9" s="217" t="str">
        <x:v>13/20</x:v>
      </x:c>
      <x:c r="J9" s="217" t="n">
        <x:v>0</x:v>
      </x:c>
      <x:c r="K9" s="217" t="n">
        <x:v>0</x:v>
      </x:c>
      <x:c r="L9" s="217" t="n">
        <x:v>0</x:v>
      </x:c>
      <x:c r="M9" s="217" t="str"/>
      <x:c r="N9" s="218" t="str">
        <x:v>0a974be469745392</x:v>
      </x:c>
    </x:row>
    <x:row r="10">
      <x:c r="A10" s="216" t="str">
        <x:v>1176~1220</x:v>
      </x:c>
      <x:c r="B10" s="217" t="str">
        <x:v>1221~1240</x:v>
      </x:c>
      <x:c r="C10" s="217" t="str">
        <x:v>휴식</x:v>
      </x:c>
      <x:c r="D10" s="217" t="str">
        <x:v>그림자 기록</x:v>
      </x:c>
      <x:c r="E10" s="217" t="n">
        <x:v>-0.5115031167662745</x:v>
      </x:c>
      <x:c r="F10" s="217" t="n">
        <x:v>4</x:v>
      </x:c>
      <x:c r="G10" s="217" t="n">
        <x:v>32</x:v>
      </x:c>
      <x:c r="H10" s="217" t="str">
        <x:v>3 · 10 · 16 · 30 · 35 · 40</x:v>
      </x:c>
      <x:c r="I10" s="217" t="str">
        <x:v>13/20</x:v>
      </x:c>
      <x:c r="J10" s="217" t="n">
        <x:v>0</x:v>
      </x:c>
      <x:c r="K10" s="217" t="n">
        <x:v>0</x:v>
      </x:c>
      <x:c r="L10" s="217" t="n">
        <x:v>0</x:v>
      </x:c>
      <x:c r="M10" s="217" t="str"/>
      <x:c r="N10" s="218" t="str">
        <x:v>0a974be469745392</x:v>
      </x:c>
    </x:row>
    <x:row r="11">
      <x:c r="A11" s="216" t="str">
        <x:v>1176~1220</x:v>
      </x:c>
      <x:c r="B11" s="217" t="str">
        <x:v>1221~1240</x:v>
      </x:c>
      <x:c r="C11" s="217" t="str">
        <x:v>휴식</x:v>
      </x:c>
      <x:c r="D11" s="217" t="str">
        <x:v>그림자 기록</x:v>
      </x:c>
      <x:c r="E11" s="217" t="n">
        <x:v>-0.5115031167662745</x:v>
      </x:c>
      <x:c r="F11" s="217" t="n">
        <x:v>5</x:v>
      </x:c>
      <x:c r="G11" s="217" t="n">
        <x:v>33</x:v>
      </x:c>
      <x:c r="H11" s="217" t="str">
        <x:v>6 · 17 · 22 · 23 · 31 · 39</x:v>
      </x:c>
      <x:c r="I11" s="217" t="str">
        <x:v>13/20</x:v>
      </x:c>
      <x:c r="J11" s="217" t="n">
        <x:v>0</x:v>
      </x:c>
      <x:c r="K11" s="217" t="n">
        <x:v>0</x:v>
      </x:c>
      <x:c r="L11" s="217" t="n">
        <x:v>0</x:v>
      </x:c>
      <x:c r="M11" s="217" t="str"/>
      <x:c r="N11" s="218" t="str">
        <x:v>0a974be469745392</x:v>
      </x:c>
    </x:row>
    <x:row r="12">
      <x:c r="A12" s="216" t="str">
        <x:v>1181~1225</x:v>
      </x:c>
      <x:c r="B12" s="217" t="str">
        <x:v>1226~1245</x:v>
      </x:c>
      <x:c r="C12" s="217" t="str">
        <x:v>가동</x:v>
      </x:c>
      <x:c r="D12" s="217" t="str">
        <x:v>공식 출전</x:v>
      </x:c>
      <x:c r="E12" s="217" t="n">
        <x:v>0.34544695071010856</x:v>
      </x:c>
      <x:c r="F12" s="217" t="n">
        <x:v>1</x:v>
      </x:c>
      <x:c r="G12" s="217" t="n">
        <x:v>11</x:v>
      </x:c>
      <x:c r="H12" s="217" t="str">
        <x:v>1 · 9 · 19 · 28 · 29 · 37</x:v>
      </x:c>
      <x:c r="I12" s="217" t="str">
        <x:v>8/20</x:v>
      </x:c>
      <x:c r="J12" s="217" t="n">
        <x:v>0</x:v>
      </x:c>
      <x:c r="K12" s="217" t="n">
        <x:v>0</x:v>
      </x:c>
      <x:c r="L12" s="217" t="n">
        <x:v>0</x:v>
      </x:c>
      <x:c r="M12" s="217" t="str"/>
      <x:c r="N12" s="218" t="str">
        <x:v>a30ba78c60f1d5ed</x:v>
      </x:c>
    </x:row>
    <x:row r="13">
      <x:c r="A13" s="216" t="str">
        <x:v>1181~1225</x:v>
      </x:c>
      <x:c r="B13" s="217" t="str">
        <x:v>1226~1245</x:v>
      </x:c>
      <x:c r="C13" s="217" t="str">
        <x:v>가동</x:v>
      </x:c>
      <x:c r="D13" s="217" t="str">
        <x:v>공식 출전</x:v>
      </x:c>
      <x:c r="E13" s="217" t="n">
        <x:v>0.34544695071010856</x:v>
      </x:c>
      <x:c r="F13" s="217" t="n">
        <x:v>2</x:v>
      </x:c>
      <x:c r="G13" s="217" t="n">
        <x:v>45</x:v>
      </x:c>
      <x:c r="H13" s="217" t="str">
        <x:v>8 · 18 · 20 · 22 · 30 · 43</x:v>
      </x:c>
      <x:c r="I13" s="217" t="str">
        <x:v>8/20</x:v>
      </x:c>
      <x:c r="J13" s="217" t="n">
        <x:v>0</x:v>
      </x:c>
      <x:c r="K13" s="217" t="n">
        <x:v>0</x:v>
      </x:c>
      <x:c r="L13" s="217" t="n">
        <x:v>0</x:v>
      </x:c>
      <x:c r="M13" s="217" t="str"/>
      <x:c r="N13" s="218" t="str">
        <x:v>a30ba78c60f1d5ed</x:v>
      </x:c>
    </x:row>
    <x:row r="14">
      <x:c r="A14" s="216" t="str">
        <x:v>1181~1225</x:v>
      </x:c>
      <x:c r="B14" s="217" t="str">
        <x:v>1226~1245</x:v>
      </x:c>
      <x:c r="C14" s="217" t="str">
        <x:v>가동</x:v>
      </x:c>
      <x:c r="D14" s="217" t="str">
        <x:v>공식 출전</x:v>
      </x:c>
      <x:c r="E14" s="217" t="n">
        <x:v>0.34544695071010856</x:v>
      </x:c>
      <x:c r="F14" s="217" t="n">
        <x:v>3</x:v>
      </x:c>
      <x:c r="G14" s="217" t="n">
        <x:v>29</x:v>
      </x:c>
      <x:c r="H14" s="217" t="str">
        <x:v>2 · 24 · 26 · 27 · 31 · 44</x:v>
      </x:c>
      <x:c r="I14" s="217" t="str">
        <x:v>8/20</x:v>
      </x:c>
      <x:c r="J14" s="217" t="n">
        <x:v>1</x:v>
      </x:c>
      <x:c r="K14" s="217" t="n">
        <x:v>0</x:v>
      </x:c>
      <x:c r="L14" s="217" t="n">
        <x:v>0</x:v>
      </x:c>
      <x:c r="M14" s="217" t="str">
        <x:v>1228회 3개(24 · 31 · 44)</x:v>
      </x:c>
      <x:c r="N14" s="218" t="str">
        <x:v>a30ba78c60f1d5ed</x:v>
      </x:c>
    </x:row>
    <x:row r="15">
      <x:c r="A15" s="216" t="str">
        <x:v>1181~1225</x:v>
      </x:c>
      <x:c r="B15" s="217" t="str">
        <x:v>1226~1245</x:v>
      </x:c>
      <x:c r="C15" s="217" t="str">
        <x:v>가동</x:v>
      </x:c>
      <x:c r="D15" s="217" t="str">
        <x:v>공식 출전</x:v>
      </x:c>
      <x:c r="E15" s="217" t="n">
        <x:v>0.34544695071010856</x:v>
      </x:c>
      <x:c r="F15" s="217" t="n">
        <x:v>4</x:v>
      </x:c>
      <x:c r="G15" s="217" t="n">
        <x:v>31</x:v>
      </x:c>
      <x:c r="H15" s="217" t="str">
        <x:v>7 · 20 · 23 · 36 · 38 · 42</x:v>
      </x:c>
      <x:c r="I15" s="217" t="str">
        <x:v>8/20</x:v>
      </x:c>
      <x:c r="J15" s="217" t="n">
        <x:v>0</x:v>
      </x:c>
      <x:c r="K15" s="217" t="n">
        <x:v>0</x:v>
      </x:c>
      <x:c r="L15" s="217" t="n">
        <x:v>0</x:v>
      </x:c>
      <x:c r="M15" s="217" t="str"/>
      <x:c r="N15" s="218" t="str">
        <x:v>a30ba78c60f1d5ed</x:v>
      </x:c>
    </x:row>
    <x:row r="16">
      <x:c r="A16" s="216" t="str">
        <x:v>1181~1225</x:v>
      </x:c>
      <x:c r="B16" s="217" t="str">
        <x:v>1226~1245</x:v>
      </x:c>
      <x:c r="C16" s="217" t="str">
        <x:v>가동</x:v>
      </x:c>
      <x:c r="D16" s="217" t="str">
        <x:v>공식 출전</x:v>
      </x:c>
      <x:c r="E16" s="217" t="n">
        <x:v>0.34544695071010856</x:v>
      </x:c>
      <x:c r="F16" s="217" t="n">
        <x:v>5</x:v>
      </x:c>
      <x:c r="G16" s="217" t="n">
        <x:v>4</x:v>
      </x:c>
      <x:c r="H16" s="217" t="str">
        <x:v>14 · 15 · 20 · 21 · 41 · 45</x:v>
      </x:c>
      <x:c r="I16" s="217" t="str">
        <x:v>8/20</x:v>
      </x:c>
      <x:c r="J16" s="217" t="n">
        <x:v>0</x:v>
      </x:c>
      <x:c r="K16" s="217" t="n">
        <x:v>0</x:v>
      </x:c>
      <x:c r="L16" s="217" t="n">
        <x:v>0</x:v>
      </x:c>
      <x:c r="M16" s="217" t="str"/>
      <x:c r="N16" s="218" t="str">
        <x:v>a30ba78c60f1d5ed</x:v>
      </x:c>
    </x:row>
    <x:row r="17">
      <x:c r="A17" s="216" t="str">
        <x:v>1186~1230</x:v>
      </x:c>
      <x:c r="B17" s="217" t="str">
        <x:v>1231~1250</x:v>
      </x:c>
      <x:c r="C17" s="217" t="str">
        <x:v>휴식</x:v>
      </x:c>
      <x:c r="D17" s="217" t="str">
        <x:v>그림자 기록</x:v>
      </x:c>
      <x:c r="E17" s="217" t="n">
        <x:v>-0.02736006683375125</x:v>
      </x:c>
      <x:c r="F17" s="217" t="n">
        <x:v>1</x:v>
      </x:c>
      <x:c r="G17" s="217" t="n">
        <x:v>45</x:v>
      </x:c>
      <x:c r="H17" s="217" t="str">
        <x:v>3 · 13 · 26 · 30 · 34 · 42</x:v>
      </x:c>
      <x:c r="I17" s="217" t="str">
        <x:v>3/20</x:v>
      </x:c>
      <x:c r="J17" s="217" t="n">
        <x:v>0</x:v>
      </x:c>
      <x:c r="K17" s="217" t="n">
        <x:v>0</x:v>
      </x:c>
      <x:c r="L17" s="217" t="n">
        <x:v>0</x:v>
      </x:c>
      <x:c r="M17" s="217" t="str"/>
      <x:c r="N17" s="218" t="str">
        <x:v>0db2cce5081acc7c</x:v>
      </x:c>
    </x:row>
    <x:row r="18">
      <x:c r="A18" s="216" t="str">
        <x:v>1186~1230</x:v>
      </x:c>
      <x:c r="B18" s="217" t="str">
        <x:v>1231~1250</x:v>
      </x:c>
      <x:c r="C18" s="217" t="str">
        <x:v>휴식</x:v>
      </x:c>
      <x:c r="D18" s="217" t="str">
        <x:v>그림자 기록</x:v>
      </x:c>
      <x:c r="E18" s="217" t="n">
        <x:v>-0.02736006683375125</x:v>
      </x:c>
      <x:c r="F18" s="217" t="n">
        <x:v>2</x:v>
      </x:c>
      <x:c r="G18" s="217" t="n">
        <x:v>6</x:v>
      </x:c>
      <x:c r="H18" s="217" t="str">
        <x:v>1 · 9 · 19 · 28 · 29 · 37</x:v>
      </x:c>
      <x:c r="I18" s="217" t="str">
        <x:v>3/20</x:v>
      </x:c>
      <x:c r="J18" s="217" t="n">
        <x:v>0</x:v>
      </x:c>
      <x:c r="K18" s="217" t="n">
        <x:v>0</x:v>
      </x:c>
      <x:c r="L18" s="217" t="n">
        <x:v>0</x:v>
      </x:c>
      <x:c r="M18" s="217" t="str"/>
      <x:c r="N18" s="218" t="str">
        <x:v>0db2cce5081acc7c</x:v>
      </x:c>
    </x:row>
    <x:row r="19">
      <x:c r="A19" s="216" t="str">
        <x:v>1186~1230</x:v>
      </x:c>
      <x:c r="B19" s="217" t="str">
        <x:v>1231~1250</x:v>
      </x:c>
      <x:c r="C19" s="217" t="str">
        <x:v>휴식</x:v>
      </x:c>
      <x:c r="D19" s="217" t="str">
        <x:v>그림자 기록</x:v>
      </x:c>
      <x:c r="E19" s="217" t="n">
        <x:v>-0.02736006683375125</x:v>
      </x:c>
      <x:c r="F19" s="217" t="n">
        <x:v>3</x:v>
      </x:c>
      <x:c r="G19" s="217" t="n">
        <x:v>19</x:v>
      </x:c>
      <x:c r="H19" s="217" t="str">
        <x:v>6 · 8 · 20 · 21 · 27 · 32</x:v>
      </x:c>
      <x:c r="I19" s="217" t="str">
        <x:v>3/20</x:v>
      </x:c>
      <x:c r="J19" s="217" t="n">
        <x:v>0</x:v>
      </x:c>
      <x:c r="K19" s="217" t="n">
        <x:v>0</x:v>
      </x:c>
      <x:c r="L19" s="217" t="n">
        <x:v>0</x:v>
      </x:c>
      <x:c r="M19" s="217" t="str"/>
      <x:c r="N19" s="218" t="str">
        <x:v>0db2cce5081acc7c</x:v>
      </x:c>
    </x:row>
    <x:row r="20">
      <x:c r="A20" s="216" t="str">
        <x:v>1186~1230</x:v>
      </x:c>
      <x:c r="B20" s="217" t="str">
        <x:v>1231~1250</x:v>
      </x:c>
      <x:c r="C20" s="217" t="str">
        <x:v>휴식</x:v>
      </x:c>
      <x:c r="D20" s="217" t="str">
        <x:v>그림자 기록</x:v>
      </x:c>
      <x:c r="E20" s="217" t="n">
        <x:v>-0.02736006683375125</x:v>
      </x:c>
      <x:c r="F20" s="217" t="n">
        <x:v>4</x:v>
      </x:c>
      <x:c r="G20" s="217" t="n">
        <x:v>43</x:v>
      </x:c>
      <x:c r="H20" s="217" t="str">
        <x:v>13 · 14 · 24 · 25 · 39 · 44</x:v>
      </x:c>
      <x:c r="I20" s="217" t="str">
        <x:v>3/20</x:v>
      </x:c>
      <x:c r="J20" s="217" t="n">
        <x:v>0</x:v>
      </x:c>
      <x:c r="K20" s="217" t="n">
        <x:v>0</x:v>
      </x:c>
      <x:c r="L20" s="217" t="n">
        <x:v>0</x:v>
      </x:c>
      <x:c r="M20" s="217" t="str"/>
      <x:c r="N20" s="218" t="str">
        <x:v>0db2cce5081acc7c</x:v>
      </x:c>
    </x:row>
    <x:row r="21">
      <x:c r="A21" s="219" t="str">
        <x:v>1186~1230</x:v>
      </x:c>
      <x:c r="B21" s="220" t="str">
        <x:v>1231~1250</x:v>
      </x:c>
      <x:c r="C21" s="220" t="str">
        <x:v>휴식</x:v>
      </x:c>
      <x:c r="D21" s="220" t="str">
        <x:v>그림자 기록</x:v>
      </x:c>
      <x:c r="E21" s="220" t="n">
        <x:v>-0.02736006683375125</x:v>
      </x:c>
      <x:c r="F21" s="220" t="n">
        <x:v>5</x:v>
      </x:c>
      <x:c r="G21" s="220" t="n">
        <x:v>26</x:v>
      </x:c>
      <x:c r="H21" s="220" t="str">
        <x:v>7 · 20 · 23 · 36 · 38 · 42</x:v>
      </x:c>
      <x:c r="I21" s="220" t="str">
        <x:v>3/20</x:v>
      </x:c>
      <x:c r="J21" s="220" t="n">
        <x:v>0</x:v>
      </x:c>
      <x:c r="K21" s="220" t="n">
        <x:v>0</x:v>
      </x:c>
      <x:c r="L21" s="220" t="n">
        <x:v>0</x:v>
      </x:c>
      <x:c r="M21" s="220" t="str"/>
      <x:c r="N21" s="221" t="str">
        <x:v>0db2cce5081acc7c</x:v>
      </x:c>
    </x:row>
  </x:sheetData>
  <x:conditionalFormatting sqref="C2:C21">
    <x:cfRule type="expression" dxfId="2" priority="1">
      <x:formula>C2="가동"</x:formula>
    </x:cfRule>
    <x:cfRule type="expression" dxfId="3" priority="2">
      <x:formula>C2="휴식"</x:formula>
    </x:cfRule>
  </x:conditionalFormatting>
  <x:conditionalFormatting sqref="K2:K21">
    <x:cfRule type="cellIs" dxfId="4" priority="3" operator="greaterThan">
      <x:formula>0</x:formula>
    </x:cfRule>
  </x:conditionalFormatting>
  <x:conditionalFormatting sqref="L2:L21">
    <x:cfRule type="cellIs" dxfId="5" priority="4" operator="greaterThan">
      <x:formula>0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</x:cols>
  <x:sheetData>
    <x:row r="1">
      <x:c r="A1" s="91" t="str">
        <x:v>신규 입력 종료</x:v>
      </x:c>
      <x:c r="B1" s="92" t="str">
        <x:v>완결 선행창</x:v>
      </x:c>
      <x:c r="C1" s="92" t="str">
        <x:v>선행창 3개+</x:v>
      </x:c>
      <x:c r="D1" s="92" t="str">
        <x:v>선행창 기대</x:v>
      </x:c>
      <x:c r="E1" s="92" t="str">
        <x:v>순초과</x:v>
      </x:c>
      <x:c r="F1" s="92" t="str">
        <x:v>4창 누적 점수</x:v>
      </x:c>
      <x:c r="G1" s="92" t="str">
        <x:v>상태</x:v>
      </x:c>
      <x:c r="H1" s="92" t="str">
        <x:v>문턱</x:v>
      </x:c>
      <x:c r="I1" s="93" t="str">
        <x:v>판정 설명</x:v>
      </x:c>
    </x:row>
    <x:row r="2">
      <x:c r="A2" s="113" t="n">
        <x:v>1215</x:v>
      </x:c>
      <x:c r="B2" s="114" t="n">
        <x:v>1180</x:v>
      </x:c>
      <x:c r="C2" s="114" t="n">
        <x:v>1</x:v>
      </x:c>
      <x:c r="D2" s="231" t="n">
        <x:v>2.375</x:v>
      </x:c>
      <x:c r="E2" s="231" t="n">
        <x:v>-1.375</x:v>
      </x:c>
      <x:c r="F2" s="231" t="str"/>
      <x:c r="G2" s="114" t="str"/>
      <x:c r="H2" s="114" t="str">
        <x:v>0 이상 가동</x:v>
      </x:c>
      <x:c r="I2" s="115" t="str"/>
    </x:row>
    <x:row r="3">
      <x:c r="A3" s="116" t="n">
        <x:v>1215</x:v>
      </x:c>
      <x:c r="B3" s="117" t="n">
        <x:v>1185</x:v>
      </x:c>
      <x:c r="C3" s="117" t="n">
        <x:v>3</x:v>
      </x:c>
      <x:c r="D3" s="232" t="n">
        <x:v>2.4358974358974357</x:v>
      </x:c>
      <x:c r="E3" s="232" t="n">
        <x:v>0.5641025641025643</x:v>
      </x:c>
      <x:c r="F3" s="232" t="str"/>
      <x:c r="G3" s="117" t="str"/>
      <x:c r="H3" s="117" t="str">
        <x:v>0 이상 가동</x:v>
      </x:c>
      <x:c r="I3" s="118" t="str"/>
    </x:row>
    <x:row r="4">
      <x:c r="A4" s="116" t="n">
        <x:v>1215</x:v>
      </x:c>
      <x:c r="B4" s="117" t="n">
        <x:v>1190</x:v>
      </x:c>
      <x:c r="C4" s="117" t="n">
        <x:v>1</x:v>
      </x:c>
      <x:c r="D4" s="232" t="n">
        <x:v>1.7105263157894737</x:v>
      </x:c>
      <x:c r="E4" s="232" t="n">
        <x:v>-0.7105263157894737</x:v>
      </x:c>
      <x:c r="F4" s="232" t="str"/>
      <x:c r="G4" s="117" t="str"/>
      <x:c r="H4" s="117" t="str">
        <x:v>0 이상 가동</x:v>
      </x:c>
      <x:c r="I4" s="118" t="str"/>
    </x:row>
    <x:row r="5">
      <x:c r="A5" s="116" t="n">
        <x:v>1215</x:v>
      </x:c>
      <x:c r="B5" s="117" t="n">
        <x:v>1195</x:v>
      </x:c>
      <x:c r="C5" s="117" t="n">
        <x:v>1</x:v>
      </x:c>
      <x:c r="D5" s="232" t="n">
        <x:v>2.142857142857143</x:v>
      </x:c>
      <x:c r="E5" s="232" t="n">
        <x:v>-1.1428571428571428</x:v>
      </x:c>
      <x:c r="F5" s="232" t="n">
        <x:v>-2.664280894544052</x:v>
      </x:c>
      <x:c r="G5" s="117" t="str">
        <x:v>휴식</x:v>
      </x:c>
      <x:c r="H5" s="117" t="str">
        <x:v>0 이상 가동</x:v>
      </x:c>
      <x:c r="I5" s="118" t="str">
        <x:v>최근 완결 4창 합계</x:v>
      </x:c>
    </x:row>
    <x:row r="6">
      <x:c r="A6" s="116" t="n">
        <x:v>1220</x:v>
      </x:c>
      <x:c r="B6" s="117" t="n">
        <x:v>1185</x:v>
      </x:c>
      <x:c r="C6" s="117" t="n">
        <x:v>3</x:v>
      </x:c>
      <x:c r="D6" s="232" t="n">
        <x:v>2.4358974358974357</x:v>
      </x:c>
      <x:c r="E6" s="232" t="n">
        <x:v>0.5641025641025643</x:v>
      </x:c>
      <x:c r="F6" s="232" t="str"/>
      <x:c r="G6" s="117" t="str"/>
      <x:c r="H6" s="117" t="str">
        <x:v>0 이상 가동</x:v>
      </x:c>
      <x:c r="I6" s="118" t="str"/>
    </x:row>
    <x:row r="7">
      <x:c r="A7" s="116" t="n">
        <x:v>1220</x:v>
      </x:c>
      <x:c r="B7" s="117" t="n">
        <x:v>1190</x:v>
      </x:c>
      <x:c r="C7" s="117" t="n">
        <x:v>1</x:v>
      </x:c>
      <x:c r="D7" s="232" t="n">
        <x:v>1.7105263157894737</x:v>
      </x:c>
      <x:c r="E7" s="232" t="n">
        <x:v>-0.7105263157894737</x:v>
      </x:c>
      <x:c r="F7" s="232" t="str"/>
      <x:c r="G7" s="117" t="str"/>
      <x:c r="H7" s="117" t="str">
        <x:v>0 이상 가동</x:v>
      </x:c>
      <x:c r="I7" s="118" t="str"/>
    </x:row>
    <x:row r="8">
      <x:c r="A8" s="116" t="n">
        <x:v>1220</x:v>
      </x:c>
      <x:c r="B8" s="117" t="n">
        <x:v>1195</x:v>
      </x:c>
      <x:c r="C8" s="117" t="n">
        <x:v>1</x:v>
      </x:c>
      <x:c r="D8" s="232" t="n">
        <x:v>2.142857142857143</x:v>
      </x:c>
      <x:c r="E8" s="232" t="n">
        <x:v>-1.1428571428571428</x:v>
      </x:c>
      <x:c r="F8" s="232" t="str"/>
      <x:c r="G8" s="117" t="str"/>
      <x:c r="H8" s="117" t="str">
        <x:v>0 이상 가동</x:v>
      </x:c>
      <x:c r="I8" s="118" t="str"/>
    </x:row>
    <x:row r="9">
      <x:c r="A9" s="116" t="n">
        <x:v>1220</x:v>
      </x:c>
      <x:c r="B9" s="117" t="n">
        <x:v>1200</x:v>
      </x:c>
      <x:c r="C9" s="117" t="n">
        <x:v>3</x:v>
      </x:c>
      <x:c r="D9" s="232" t="n">
        <x:v>2.2222222222222223</x:v>
      </x:c>
      <x:c r="E9" s="232" t="n">
        <x:v>0.7777777777777777</x:v>
      </x:c>
      <x:c r="F9" s="232" t="n">
        <x:v>-0.5115031167662745</x:v>
      </x:c>
      <x:c r="G9" s="117" t="str">
        <x:v>휴식</x:v>
      </x:c>
      <x:c r="H9" s="117" t="str">
        <x:v>0 이상 가동</x:v>
      </x:c>
      <x:c r="I9" s="118" t="str">
        <x:v>최근 완결 4창 합계</x:v>
      </x:c>
    </x:row>
    <x:row r="10">
      <x:c r="A10" s="116" t="n">
        <x:v>1225</x:v>
      </x:c>
      <x:c r="B10" s="117" t="n">
        <x:v>1190</x:v>
      </x:c>
      <x:c r="C10" s="117" t="n">
        <x:v>1</x:v>
      </x:c>
      <x:c r="D10" s="232" t="n">
        <x:v>1.7105263157894737</x:v>
      </x:c>
      <x:c r="E10" s="232" t="n">
        <x:v>-0.7105263157894737</x:v>
      </x:c>
      <x:c r="F10" s="232" t="str"/>
      <x:c r="G10" s="117" t="str"/>
      <x:c r="H10" s="117" t="str">
        <x:v>0 이상 가동</x:v>
      </x:c>
      <x:c r="I10" s="118" t="str"/>
    </x:row>
    <x:row r="11">
      <x:c r="A11" s="116" t="n">
        <x:v>1225</x:v>
      </x:c>
      <x:c r="B11" s="117" t="n">
        <x:v>1195</x:v>
      </x:c>
      <x:c r="C11" s="117" t="n">
        <x:v>1</x:v>
      </x:c>
      <x:c r="D11" s="232" t="n">
        <x:v>2.142857142857143</x:v>
      </x:c>
      <x:c r="E11" s="232" t="n">
        <x:v>-1.1428571428571428</x:v>
      </x:c>
      <x:c r="F11" s="232" t="str"/>
      <x:c r="G11" s="117" t="str"/>
      <x:c r="H11" s="117" t="str">
        <x:v>0 이상 가동</x:v>
      </x:c>
      <x:c r="I11" s="118" t="str"/>
    </x:row>
    <x:row r="12">
      <x:c r="A12" s="116" t="n">
        <x:v>1225</x:v>
      </x:c>
      <x:c r="B12" s="117" t="n">
        <x:v>1200</x:v>
      </x:c>
      <x:c r="C12" s="117" t="n">
        <x:v>3</x:v>
      </x:c>
      <x:c r="D12" s="232" t="n">
        <x:v>2.2222222222222223</x:v>
      </x:c>
      <x:c r="E12" s="232" t="n">
        <x:v>0.7777777777777777</x:v>
      </x:c>
      <x:c r="F12" s="232" t="str"/>
      <x:c r="G12" s="117" t="str"/>
      <x:c r="H12" s="117" t="str">
        <x:v>0 이상 가동</x:v>
      </x:c>
      <x:c r="I12" s="118" t="str"/>
    </x:row>
    <x:row r="13">
      <x:c r="A13" s="116" t="n">
        <x:v>1225</x:v>
      </x:c>
      <x:c r="B13" s="117" t="n">
        <x:v>1205</x:v>
      </x:c>
      <x:c r="C13" s="117" t="n">
        <x:v>3</x:v>
      </x:c>
      <x:c r="D13" s="232" t="n">
        <x:v>1.5789473684210527</x:v>
      </x:c>
      <x:c r="E13" s="232" t="n">
        <x:v>1.4210526315789473</x:v>
      </x:c>
      <x:c r="F13" s="232" t="n">
        <x:v>0.34544695071010856</x:v>
      </x:c>
      <x:c r="G13" s="117" t="str">
        <x:v>가동</x:v>
      </x:c>
      <x:c r="H13" s="117" t="str">
        <x:v>0 이상 가동</x:v>
      </x:c>
      <x:c r="I13" s="118" t="str">
        <x:v>최근 완결 4창 합계</x:v>
      </x:c>
    </x:row>
    <x:row r="14">
      <x:c r="A14" s="116" t="n">
        <x:v>1230</x:v>
      </x:c>
      <x:c r="B14" s="117" t="n">
        <x:v>1195</x:v>
      </x:c>
      <x:c r="C14" s="117" t="n">
        <x:v>1</x:v>
      </x:c>
      <x:c r="D14" s="232" t="n">
        <x:v>2.142857142857143</x:v>
      </x:c>
      <x:c r="E14" s="232" t="n">
        <x:v>-1.1428571428571428</x:v>
      </x:c>
      <x:c r="F14" s="232" t="str"/>
      <x:c r="G14" s="117" t="str"/>
      <x:c r="H14" s="117" t="str">
        <x:v>0 이상 가동</x:v>
      </x:c>
      <x:c r="I14" s="118" t="str"/>
    </x:row>
    <x:row r="15">
      <x:c r="A15" s="116" t="n">
        <x:v>1230</x:v>
      </x:c>
      <x:c r="B15" s="117" t="n">
        <x:v>1200</x:v>
      </x:c>
      <x:c r="C15" s="117" t="n">
        <x:v>3</x:v>
      </x:c>
      <x:c r="D15" s="232" t="n">
        <x:v>2.2222222222222223</x:v>
      </x:c>
      <x:c r="E15" s="232" t="n">
        <x:v>0.7777777777777777</x:v>
      </x:c>
      <x:c r="F15" s="232" t="str"/>
      <x:c r="G15" s="117" t="str"/>
      <x:c r="H15" s="117" t="str">
        <x:v>0 이상 가동</x:v>
      </x:c>
      <x:c r="I15" s="118" t="str"/>
    </x:row>
    <x:row r="16">
      <x:c r="A16" s="116" t="n">
        <x:v>1230</x:v>
      </x:c>
      <x:c r="B16" s="117" t="n">
        <x:v>1205</x:v>
      </x:c>
      <x:c r="C16" s="117" t="n">
        <x:v>3</x:v>
      </x:c>
      <x:c r="D16" s="232" t="n">
        <x:v>1.5789473684210527</x:v>
      </x:c>
      <x:c r="E16" s="232" t="n">
        <x:v>1.4210526315789473</x:v>
      </x:c>
      <x:c r="F16" s="232" t="str"/>
      <x:c r="G16" s="117" t="str"/>
      <x:c r="H16" s="117" t="str">
        <x:v>0 이상 가동</x:v>
      </x:c>
      <x:c r="I16" s="118" t="str"/>
    </x:row>
    <x:row r="17">
      <x:c r="A17" s="119" t="n">
        <x:v>1230</x:v>
      </x:c>
      <x:c r="B17" s="120" t="n">
        <x:v>1210</x:v>
      </x:c>
      <x:c r="C17" s="120" t="n">
        <x:v>1</x:v>
      </x:c>
      <x:c r="D17" s="233" t="n">
        <x:v>2.0833333333333335</x:v>
      </x:c>
      <x:c r="E17" s="233" t="n">
        <x:v>-1.0833333333333335</x:v>
      </x:c>
      <x:c r="F17" s="233" t="n">
        <x:v>-0.02736006683375125</x:v>
      </x:c>
      <x:c r="G17" s="120" t="str">
        <x:v>휴식</x:v>
      </x:c>
      <x:c r="H17" s="120" t="str">
        <x:v>0 이상 가동</x:v>
      </x:c>
      <x:c r="I17" s="121" t="str">
        <x:v>최근 완결 4창 합계</x:v>
      </x:c>
    </x:row>
  </x:sheetData>
  <x:conditionalFormatting sqref="E2:E17">
    <x:cfRule type="colorScale" priority="1">
      <x:colorScale>
        <x:cfvo type="min"/>
        <x:cfvo type="percentile" val="50"/>
        <x:cfvo type="max"/>
        <x:color rgb="FFFBE4ED"/>
        <x:color rgb="FFF8FBFD"/>
        <x:color rgb="FFDFF3E7"/>
      </x:colorScale>
    </x:cfRule>
  </x:conditionalFormatting>
  <x:conditionalFormatting sqref="G2:G17">
    <x:cfRule type="expression" dxfId="6" priority="2">
      <x:formula>G2="가동"</x:formula>
    </x:cfRule>
    <x:cfRule type="expression" dxfId="7" priority="3">
      <x:formula>G2="휴식"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6.5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>
      <x:c r="A1" s="91" t="str">
        <x:v>예측번호</x:v>
      </x:c>
      <x:c r="B1" s="92" t="str">
        <x:v>당첨 회차</x:v>
      </x:c>
      <x:c r="C1" s="92" t="str">
        <x:v>실제 본번호</x:v>
      </x:c>
      <x:c r="D1" s="92" t="str">
        <x:v>적중 수</x:v>
      </x:c>
      <x:c r="E1" s="92" t="str">
        <x:v>적중번호</x:v>
      </x:c>
      <x:c r="F1" s="92" t="str">
        <x:v>반복 입력창</x:v>
      </x:c>
      <x:c r="G1" s="92" t="str">
        <x:v>원시 기록 수</x:v>
      </x:c>
      <x:c r="H1" s="92" t="str">
        <x:v>공식 가동 포함</x:v>
      </x:c>
      <x:c r="I1" s="92" t="str">
        <x:v>공식 입력 종료</x:v>
      </x:c>
      <x:c r="J1" s="93" t="str">
        <x:v>해석</x:v>
      </x:c>
    </x:row>
    <x:row r="2">
      <x:c r="A2" s="240" t="str">
        <x:v>2 · 24 · 26 · 27 · 31 · 44</x:v>
      </x:c>
      <x:c r="B2" s="241" t="n">
        <x:v>1228</x:v>
      </x:c>
      <x:c r="C2" s="241" t="str">
        <x:v>24 · 29 · 30 · 31 · 35 · 44</x:v>
      </x:c>
      <x:c r="D2" s="241" t="n">
        <x:v>3</x:v>
      </x:c>
      <x:c r="E2" s="241" t="str">
        <x:v>24 · 31 · 44</x:v>
      </x:c>
      <x:c r="F2" s="241" t="str">
        <x:v>1215 · 1220 · 1225</x:v>
      </x:c>
      <x:c r="G2" s="241" t="n">
        <x:v>3</x:v>
      </x:c>
      <x:c r="H2" s="241" t="str">
        <x:v>예</x:v>
      </x:c>
      <x:c r="I2" s="241" t="str">
        <x:v>1225</x:v>
      </x:c>
      <x:c r="J2" s="242" t="str">
        <x:v>중첩 3창의 같은 사건 · 고유 1건</x:v>
      </x:c>
    </x:row>
    <x:row r="5">
      <x:c r="A5" s="91" t="str">
        <x:v>입력 종료</x:v>
      </x:c>
      <x:c r="B5" s="92" t="str">
        <x:v>상태</x:v>
      </x:c>
      <x:c r="C5" s="92" t="str">
        <x:v>등록 구분</x:v>
      </x:c>
      <x:c r="D5" s="92" t="str">
        <x:v>순위</x:v>
      </x:c>
      <x:c r="E5" s="92" t="str">
        <x:v>예측번호</x:v>
      </x:c>
      <x:c r="F5" s="92" t="str">
        <x:v>당첨 회차</x:v>
      </x:c>
      <x:c r="G5" s="92" t="str">
        <x:v>적중 수</x:v>
      </x:c>
      <x:c r="H5" s="92" t="str">
        <x:v>적중번호</x:v>
      </x:c>
      <x:c r="I5" s="93" t="str">
        <x:v>실제 본번호</x:v>
      </x:c>
    </x:row>
    <x:row r="6">
      <x:c r="A6" s="213" t="n">
        <x:v>1215</x:v>
      </x:c>
      <x:c r="B6" s="214" t="str">
        <x:v>휴식</x:v>
      </x:c>
      <x:c r="C6" s="214" t="str">
        <x:v>그림자 기록</x:v>
      </x:c>
      <x:c r="D6" s="214" t="n">
        <x:v>1</x:v>
      </x:c>
      <x:c r="E6" s="214" t="str">
        <x:v>2 · 24 · 26 · 27 · 31 · 44</x:v>
      </x:c>
      <x:c r="F6" s="214" t="n">
        <x:v>1228</x:v>
      </x:c>
      <x:c r="G6" s="214" t="n">
        <x:v>3</x:v>
      </x:c>
      <x:c r="H6" s="214" t="str">
        <x:v>24 · 31 · 44</x:v>
      </x:c>
      <x:c r="I6" s="215" t="str">
        <x:v>24 · 29 · 30 · 31 · 35 · 44</x:v>
      </x:c>
    </x:row>
    <x:row r="7">
      <x:c r="A7" s="216" t="n">
        <x:v>1220</x:v>
      </x:c>
      <x:c r="B7" s="217" t="str">
        <x:v>휴식</x:v>
      </x:c>
      <x:c r="C7" s="217" t="str">
        <x:v>그림자 기록</x:v>
      </x:c>
      <x:c r="D7" s="217" t="n">
        <x:v>1</x:v>
      </x:c>
      <x:c r="E7" s="217" t="str">
        <x:v>2 · 24 · 26 · 27 · 31 · 44</x:v>
      </x:c>
      <x:c r="F7" s="217" t="n">
        <x:v>1228</x:v>
      </x:c>
      <x:c r="G7" s="217" t="n">
        <x:v>3</x:v>
      </x:c>
      <x:c r="H7" s="217" t="str">
        <x:v>24 · 31 · 44</x:v>
      </x:c>
      <x:c r="I7" s="218" t="str">
        <x:v>24 · 29 · 30 · 31 · 35 · 44</x:v>
      </x:c>
    </x:row>
    <x:row r="8">
      <x:c r="A8" s="219" t="n">
        <x:v>1225</x:v>
      </x:c>
      <x:c r="B8" s="220" t="str">
        <x:v>가동</x:v>
      </x:c>
      <x:c r="C8" s="220" t="str">
        <x:v>공식 출전</x:v>
      </x:c>
      <x:c r="D8" s="220" t="n">
        <x:v>3</x:v>
      </x:c>
      <x:c r="E8" s="220" t="str">
        <x:v>2 · 24 · 26 · 27 · 31 · 44</x:v>
      </x:c>
      <x:c r="F8" s="220" t="n">
        <x:v>1228</x:v>
      </x:c>
      <x:c r="G8" s="220" t="n">
        <x:v>3</x:v>
      </x:c>
      <x:c r="H8" s="220" t="str">
        <x:v>24 · 31 · 44</x:v>
      </x:c>
      <x:c r="I8" s="221" t="str">
        <x:v>24 · 29 · 30 · 31 · 35 · 44</x:v>
      </x:c>
    </x:row>
  </x:sheetData>
  <x:conditionalFormatting sqref="H2:H2">
    <x:cfRule type="expression" dxfId="8" priority="1">
      <x:formula>H2="예"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</x:cols>
  <x:sheetData>
    <x:row r="1">
      <x:c r="A1" s="91" t="str">
        <x:v>입력 종료</x:v>
      </x:c>
      <x:c r="B1" s="92" t="str">
        <x:v>상태</x:v>
      </x:c>
      <x:c r="C1" s="92" t="str">
        <x:v>등록 구분</x:v>
      </x:c>
      <x:c r="D1" s="92" t="str">
        <x:v>추적 시작</x:v>
      </x:c>
      <x:c r="E1" s="92" t="str">
        <x:v>현재 반영</x:v>
      </x:c>
      <x:c r="F1" s="92" t="str">
        <x:v>남은 회차</x:v>
      </x:c>
      <x:c r="G1" s="92" t="str">
        <x:v>완결 회차</x:v>
      </x:c>
      <x:c r="H1" s="92" t="str">
        <x:v>판정 역할</x:v>
      </x:c>
      <x:c r="I1" s="92" t="str">
        <x:v>현재 3개+</x:v>
      </x:c>
      <x:c r="J1" s="93" t="str">
        <x:v>현재 4개+</x:v>
      </x:c>
    </x:row>
    <x:row r="2">
      <x:c r="A2" s="113" t="n">
        <x:v>1215</x:v>
      </x:c>
      <x:c r="B2" s="114" t="str">
        <x:v>휴식</x:v>
      </x:c>
      <x:c r="C2" s="114" t="str">
        <x:v>그림자 기록</x:v>
      </x:c>
      <x:c r="D2" s="114" t="n">
        <x:v>1216</x:v>
      </x:c>
      <x:c r="E2" s="114" t="n">
        <x:v>1233</x:v>
      </x:c>
      <x:c r="F2" s="114" t="n">
        <x:v>2</x:v>
      </x:c>
      <x:c r="G2" s="114" t="n">
        <x:v>1235</x:v>
      </x:c>
      <x:c r="H2" s="114" t="str">
        <x:v>휴식 스위치 검증</x:v>
      </x:c>
      <x:c r="I2" s="114" t="n">
        <x:v>1</x:v>
      </x:c>
      <x:c r="J2" s="115" t="n">
        <x:v>0</x:v>
      </x:c>
    </x:row>
    <x:row r="3">
      <x:c r="A3" s="116" t="n">
        <x:v>1220</x:v>
      </x:c>
      <x:c r="B3" s="117" t="str">
        <x:v>휴식</x:v>
      </x:c>
      <x:c r="C3" s="117" t="str">
        <x:v>그림자 기록</x:v>
      </x:c>
      <x:c r="D3" s="117" t="n">
        <x:v>1221</x:v>
      </x:c>
      <x:c r="E3" s="117" t="n">
        <x:v>1233</x:v>
      </x:c>
      <x:c r="F3" s="117" t="n">
        <x:v>7</x:v>
      </x:c>
      <x:c r="G3" s="117" t="n">
        <x:v>1240</x:v>
      </x:c>
      <x:c r="H3" s="117" t="str">
        <x:v>휴식 스위치 검증</x:v>
      </x:c>
      <x:c r="I3" s="117" t="n">
        <x:v>1</x:v>
      </x:c>
      <x:c r="J3" s="118" t="n">
        <x:v>0</x:v>
      </x:c>
    </x:row>
    <x:row r="4">
      <x:c r="A4" s="116" t="n">
        <x:v>1225</x:v>
      </x:c>
      <x:c r="B4" s="117" t="str">
        <x:v>가동</x:v>
      </x:c>
      <x:c r="C4" s="117" t="str">
        <x:v>공식 출전</x:v>
      </x:c>
      <x:c r="D4" s="117" t="n">
        <x:v>1226</x:v>
      </x:c>
      <x:c r="E4" s="117" t="n">
        <x:v>1233</x:v>
      </x:c>
      <x:c r="F4" s="117" t="n">
        <x:v>12</x:v>
      </x:c>
      <x:c r="G4" s="117" t="n">
        <x:v>1245</x:v>
      </x:c>
      <x:c r="H4" s="117" t="str">
        <x:v>첫 공식 가동 창 완결</x:v>
      </x:c>
      <x:c r="I4" s="117" t="n">
        <x:v>1</x:v>
      </x:c>
      <x:c r="J4" s="118" t="n">
        <x:v>0</x:v>
      </x:c>
    </x:row>
    <x:row r="5">
      <x:c r="A5" s="119" t="n">
        <x:v>1230</x:v>
      </x:c>
      <x:c r="B5" s="120" t="str">
        <x:v>휴식</x:v>
      </x:c>
      <x:c r="C5" s="120" t="str">
        <x:v>그림자 기록</x:v>
      </x:c>
      <x:c r="D5" s="120" t="n">
        <x:v>1231</x:v>
      </x:c>
      <x:c r="E5" s="120" t="n">
        <x:v>1233</x:v>
      </x:c>
      <x:c r="F5" s="120" t="n">
        <x:v>17</x:v>
      </x:c>
      <x:c r="G5" s="120" t="n">
        <x:v>1250</x:v>
      </x:c>
      <x:c r="H5" s="120" t="str">
        <x:v>휴식 스위치 검증</x:v>
      </x:c>
      <x:c r="I5" s="120" t="n">
        <x:v>0</x:v>
      </x:c>
      <x:c r="J5" s="121" t="n">
        <x:v>0</x:v>
      </x:c>
    </x:row>
    <x:row r="8">
      <x:c r="A8" s="268" t="str">
        <x:v>1235회에는 1215회 종료 휴식 창이 가장 먼저 완결됩니다. 다만 주력 번호 생성의 첫 공식 성적표는 1225회 종료 가동 창이 끝나는 1245회입니다. 그전까지 3개·4개 적중이 발생해도 상태 문턱과 고정번호는 변경하지 않습니다.</x:v>
      </x:c>
      <x:c r="B8" s="269"/>
      <x:c r="C8" s="269"/>
      <x:c r="D8" s="269"/>
      <x:c r="E8" s="269"/>
      <x:c r="F8" s="269"/>
      <x:c r="G8" s="269"/>
      <x:c r="H8" s="269"/>
      <x:c r="I8" s="269"/>
      <x:c r="J8" s="270"/>
    </x:row>
    <x:row r="9">
      <x:c r="A9" s="271"/>
      <x:c r="B9" s="272"/>
      <x:c r="C9" s="272"/>
      <x:c r="D9" s="272"/>
      <x:c r="E9" s="272"/>
      <x:c r="F9" s="272"/>
      <x:c r="G9" s="272"/>
      <x:c r="H9" s="272"/>
      <x:c r="I9" s="272"/>
      <x:c r="J9" s="273"/>
    </x:row>
    <x:row r="10">
      <x:c r="A10" s="271"/>
      <x:c r="B10" s="272"/>
      <x:c r="C10" s="272"/>
      <x:c r="D10" s="272"/>
      <x:c r="E10" s="272"/>
      <x:c r="F10" s="272"/>
      <x:c r="G10" s="272"/>
      <x:c r="H10" s="272"/>
      <x:c r="I10" s="272"/>
      <x:c r="J10" s="273"/>
    </x:row>
    <x:row r="11">
      <x:c r="A11" s="271"/>
      <x:c r="B11" s="272"/>
      <x:c r="C11" s="272"/>
      <x:c r="D11" s="272"/>
      <x:c r="E11" s="272"/>
      <x:c r="F11" s="272"/>
      <x:c r="G11" s="272"/>
      <x:c r="H11" s="272"/>
      <x:c r="I11" s="272"/>
      <x:c r="J11" s="273"/>
    </x:row>
    <x:row r="12">
      <x:c r="A12" s="274"/>
      <x:c r="B12" s="275"/>
      <x:c r="C12" s="275"/>
      <x:c r="D12" s="275"/>
      <x:c r="E12" s="275"/>
      <x:c r="F12" s="275"/>
      <x:c r="G12" s="275"/>
      <x:c r="H12" s="275"/>
      <x:c r="I12" s="275"/>
      <x:c r="J12" s="276"/>
    </x:row>
  </x:sheetData>
  <x:mergeCells>
    <x:mergeCell ref="A8:J12"/>
  </x:mergeCells>
  <x:conditionalFormatting sqref="B2:B5">
    <x:cfRule type="expression" dxfId="9" priority="1">
      <x:formula>B2="가동"</x:formula>
    </x:cfRule>
    <x:cfRule type="expression" dxfId="10" priority="2">
      <x:formula>B2="휴식"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  <x:col min="3" max="3" width="8.25" hidden="0" customWidth="1"/>
    <x:col min="4" max="4" width="8.880000114440918" hidden="0" customWidth="1"/>
    <x:col min="5" max="5" width="62" hidden="0" customWidth="1"/>
    <x:col min="6" max="6" width="68" hidden="0" customWidth="1"/>
  </x:cols>
  <x:sheetData>
    <x:row r="1" ht="30" customHeight="1">
      <x:c r="A1" s="306" t="str">
        <x:v>사전등록 봉인 정보</x:v>
      </x:c>
      <x:c r="B1" s="306"/>
      <x:c r="C1" s="306"/>
      <x:c r="D1" s="306"/>
      <x:c r="E1" s="306"/>
      <x:c r="F1" s="306"/>
      <x:c r="G1" s="306"/>
      <x:c r="H1" s="306"/>
    </x:row>
    <x:row r="3">
      <x:c r="A3" s="91" t="str">
        <x:v>항목</x:v>
      </x:c>
      <x:c r="B3" s="93" t="str">
        <x:v>고정 내용</x:v>
      </x:c>
    </x:row>
    <x:row r="4">
      <x:c r="A4" s="309" t="str">
        <x:v>모델</x:v>
      </x:c>
      <x:c r="B4" s="321" t="str">
        <x:v>순수 3수 분산 T형</x:v>
      </x:c>
    </x:row>
    <x:row r="5">
      <x:c r="A5" s="310" t="str">
        <x:v>세트 규칙</x:v>
      </x:c>
      <x:c r="B5" s="322" t="str">
        <x:v>순수 3수 분산 T형 · 번호 다양성 0.20 · 겹침 벌점 0.50 · 상위 3수 3개 · 코어 2차 중복 0</x:v>
      </x:c>
    </x:row>
    <x:row r="6">
      <x:c r="A6" s="310" t="str">
        <x:v>입력</x:v>
      </x:c>
      <x:c r="B6" s="322" t="str">
        <x:v>직전 45회 본번호 6개</x:v>
      </x:c>
    </x:row>
    <x:row r="7">
      <x:c r="A7" s="310" t="str">
        <x:v>갱신</x:v>
      </x:c>
      <x:c r="B7" s="322" t="str">
        <x:v>5회마다 신규 포트폴리오 생성</x:v>
      </x:c>
    </x:row>
    <x:row r="8">
      <x:c r="A8" s="310" t="str">
        <x:v>수명</x:v>
      </x:c>
      <x:c r="B8" s="322" t="str">
        <x:v>각 포트폴리오 다음 20회</x:v>
      </x:c>
    </x:row>
    <x:row r="9">
      <x:c r="A9" s="310" t="str">
        <x:v>보너스</x:v>
      </x:c>
      <x:c r="B9" s="322" t="str">
        <x:v>완전 제외</x:v>
      </x:c>
    </x:row>
    <x:row r="10">
      <x:c r="A10" s="310" t="str">
        <x:v>가동 문턱</x:v>
      </x:c>
      <x:c r="B10" s="322" t="str">
        <x:v>현재 시점에 20회 추적이 끝난 최근 4개 이동창의 3개+ 관측 합계 - 조건부 무작위 기대 합계가 0 이상이면 가동</x:v>
      </x:c>
    </x:row>
    <x:row r="11">
      <x:c r="A11" s="310" t="str">
        <x:v>변경 금지</x:v>
      </x:c>
      <x:c r="B11" s="322" t="str">
        <x:v>번호 점수식·5세트 선택·가동 문턱·20회 수명은 신규 4창 결과에 따라 수정하지 않음</x:v>
      </x:c>
    </x:row>
    <x:row r="12">
      <x:c r="A12" s="311" t="str">
        <x:v>전체 Manifest SHA-256</x:v>
      </x:c>
      <x:c r="B12" s="323" t="str">
        <x:v>2d5de5075923936180d4516c307105af1466ea5eb9f2e126903323f61784e66b</x:v>
      </x:c>
    </x:row>
    <x:row r="15">
      <x:c r="A15" s="91" t="str">
        <x:v>입력 종료</x:v>
      </x:c>
      <x:c r="B15" s="92" t="str">
        <x:v>상태</x:v>
      </x:c>
      <x:c r="C15" s="92" t="str">
        <x:v>건강 점수</x:v>
      </x:c>
      <x:c r="D15" s="92" t="str">
        <x:v>추적 회차</x:v>
      </x:c>
      <x:c r="E15" s="92" t="str">
        <x:v>고정번호 요약</x:v>
      </x:c>
      <x:c r="F15" s="93" t="str">
        <x:v>레코드 SHA-256</x:v>
      </x:c>
    </x:row>
    <x:row r="16">
      <x:c r="A16" s="342" t="n">
        <x:v>1215</x:v>
      </x:c>
      <x:c r="B16" s="343" t="str">
        <x:v>휴식</x:v>
      </x:c>
      <x:c r="C16" s="369" t="n">
        <x:v>-2.664280894544052</x:v>
      </x:c>
      <x:c r="D16" s="343" t="str">
        <x:v>1216~1235</x:v>
      </x:c>
      <x:c r="E16" s="343" t="str">
        <x:v>2 · 24 · 26 · 27 · 31 · 44 / 1 · 9 · 19 · 28 · 29 · 37 / 7 · 20 · 23 · 36 · 38 · 42 / 3 · 10 · 16 · 30 · 35 · 40 / 6 · 8 · 20 · 21 · 27 · 32</x:v>
      </x:c>
      <x:c r="F16" s="344" t="str">
        <x:v>575af0cdc78fdf32c0295f2ece62df4e138f6513126f0b8a1644400316366118</x:v>
      </x:c>
    </x:row>
    <x:row r="17">
      <x:c r="A17" s="345" t="n">
        <x:v>1220</x:v>
      </x:c>
      <x:c r="B17" s="346" t="str">
        <x:v>휴식</x:v>
      </x:c>
      <x:c r="C17" s="370" t="n">
        <x:v>-0.5115031167662745</x:v>
      </x:c>
      <x:c r="D17" s="346" t="str">
        <x:v>1221~1240</x:v>
      </x:c>
      <x:c r="E17" s="346" t="str">
        <x:v>2 · 24 · 26 · 27 · 31 · 44 / 1 · 9 · 19 · 28 · 29 · 37 / 7 · 20 · 23 · 36 · 38 · 42 / 3 · 10 · 16 · 30 · 35 · 40 / 6 · 17 · 22 · 23 · 31 · 39</x:v>
      </x:c>
      <x:c r="F17" s="347" t="str">
        <x:v>0a974be469745392f8c8fd0918c0898b834d7cd3a1585823e0dfde090ed8a780</x:v>
      </x:c>
    </x:row>
    <x:row r="18">
      <x:c r="A18" s="345" t="n">
        <x:v>1225</x:v>
      </x:c>
      <x:c r="B18" s="346" t="str">
        <x:v>가동</x:v>
      </x:c>
      <x:c r="C18" s="370" t="n">
        <x:v>0.34544695071010856</x:v>
      </x:c>
      <x:c r="D18" s="346" t="str">
        <x:v>1226~1245</x:v>
      </x:c>
      <x:c r="E18" s="346" t="str">
        <x:v>1 · 9 · 19 · 28 · 29 · 37 / 8 · 18 · 20 · 22 · 30 · 43 / 2 · 24 · 26 · 27 · 31 · 44 / 7 · 20 · 23 · 36 · 38 · 42 / 14 · 15 · 20 · 21 · 41 · 45</x:v>
      </x:c>
      <x:c r="F18" s="347" t="str">
        <x:v>a30ba78c60f1d5edf79b0b41f0570806fd864db3b8aefdca3e89859792ca9271</x:v>
      </x:c>
    </x:row>
    <x:row r="19">
      <x:c r="A19" s="348" t="n">
        <x:v>1230</x:v>
      </x:c>
      <x:c r="B19" s="349" t="str">
        <x:v>휴식</x:v>
      </x:c>
      <x:c r="C19" s="371" t="n">
        <x:v>-0.02736006683375125</x:v>
      </x:c>
      <x:c r="D19" s="349" t="str">
        <x:v>1231~1250</x:v>
      </x:c>
      <x:c r="E19" s="349" t="str">
        <x:v>3 · 13 · 26 · 30 · 34 · 42 / 1 · 9 · 19 · 28 · 29 · 37 / 6 · 8 · 20 · 21 · 27 · 32 / 13 · 14 · 24 · 25 · 39 · 44 / 7 · 20 · 23 · 36 · 38 · 42</x:v>
      </x:c>
      <x:c r="F19" s="350" t="str">
        <x:v>0db2cce5081acc7c0b80084ce606bd81dc4cd5a3198127681f8d460f84c24b4a</x:v>
      </x:c>
    </x:row>
  </x:sheetData>
  <x:mergeCells>
    <x:mergeCell ref="A1:H1"/>
  </x:mergeCells>
  <x:pageMargins left="0.7" right="0.7" top="0.75" bottom="0.75" header="0.3" footer="0.3"/>
</x:worksheet>
</file>