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c90526549244a0" /></Relationships>
</file>

<file path=xl/workbook.xml><?xml version="1.0" encoding="utf-8"?>
<x:workbook xmlns:x="http://schemas.openxmlformats.org/spreadsheetml/2006/main">
  <x:sheets>
    <x:sheet xmlns:r="http://schemas.openxmlformats.org/officeDocument/2006/relationships" name="요약" sheetId="1" r:id="R7784ebe346fe4f1c"/>
    <x:sheet xmlns:r="http://schemas.openxmlformats.org/officeDocument/2006/relationships" name="개발·독립 비교" sheetId="2" r:id="R4207c01011a64270"/>
    <x:sheet xmlns:r="http://schemas.openxmlformats.org/officeDocument/2006/relationships" name="블록별 게이트" sheetId="3" r:id="R4559e1b0a62d44ed"/>
    <x:sheet xmlns:r="http://schemas.openxmlformats.org/officeDocument/2006/relationships" name="게이트 모델" sheetId="4" r:id="R6b30f3a65c6b41c9"/>
    <x:sheet xmlns:r="http://schemas.openxmlformats.org/officeDocument/2006/relationships" name="판정 멘트·생존 규칙" sheetId="5" r:id="Re33cd27502f64a66"/>
    <x:sheet xmlns:r="http://schemas.openxmlformats.org/officeDocument/2006/relationships" name="미완료 27블록" sheetId="6" r:id="Rae12a758c9944f68"/>
    <x:sheet xmlns:r="http://schemas.openxmlformats.org/officeDocument/2006/relationships" name="방법·누수 방지" sheetId="7" r:id="Ra8a15988443444d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00%"/>
    <x:numFmt numFmtId="203" formatCode="0.000"/>
    <x:numFmt numFmtId="204" formatCode="0.000000"/>
  </x:numFmts>
  <x:fonts count="14">
    <x:font>
      <x:sz val="11"/>
      <x:name val="Carlito"/>
    </x:font>
    <x:font>
      <x:b/>
      <x:sz val="18"/>
      <x:color rgb="FFF8FBFD"/>
      <x:name val="Carlito"/>
    </x:font>
    <x:font>
      <x:sz val="10"/>
      <x:color rgb="FF344A58"/>
      <x:name val="Carlito"/>
    </x:font>
    <x:font>
      <x:b/>
      <x:sz val="11"/>
      <x:color rgb="FFF8FBFD"/>
      <x:name val="Carlito"/>
    </x:font>
    <x:font>
      <x:b/>
      <x:sz val="17"/>
      <x:color rgb="FF0B1E2D"/>
      <x:name val="Carlito"/>
    </x:font>
    <x:font>
      <x:sz val="8"/>
      <x:color rgb="FF718795"/>
      <x:name val="Carlito"/>
    </x:font>
    <x:font>
      <x:b/>
      <x:sz val="14"/>
      <x:color rgb="FF24643C"/>
      <x:name val="Carlito"/>
    </x:font>
    <x:font>
      <x:b/>
      <x:sz val="11"/>
      <x:color rgb="FF24643C"/>
      <x:name val="Carlito"/>
    </x:font>
    <x:font>
      <x:sz val="11"/>
      <x:color rgb="FF9A365B"/>
      <x:name val="Carlito"/>
    </x:font>
    <x:font>
      <x:b/>
      <x:sz val="11"/>
      <x:color rgb="FF0B1E2D"/>
      <x:name val="Carlito"/>
    </x:font>
    <x:font>
      <x:sz val="11"/>
      <x:color rgb="FF344A58"/>
      <x:name val="Carlito"/>
    </x:font>
    <x:font>
      <x:b/>
      <x:sz val="16"/>
      <x:color rgb="FFF8FBFD"/>
      <x:name val="Carlito"/>
    </x:font>
    <x:font>
      <x:sz val="10"/>
      <x:color rgb="FF0B1E2D"/>
      <x:name val="Carlito"/>
    </x:font>
    <x:font>
      <x:b/>
      <x:sz val="11"/>
      <x:color rgb="FF805700"/>
      <x:name val="Carlito"/>
    </x:font>
  </x:fonts>
  <x:fills count="10">
    <x:fill>
      <x:patternFill patternType="none"/>
    </x:fill>
    <x:fill>
      <x:patternFill patternType="gray125"/>
    </x:fill>
    <x:fill>
      <x:patternFill patternType="solid">
        <x:fgColor rgb="FF0B1E2D"/>
      </x:patternFill>
    </x:fill>
    <x:fill>
      <x:patternFill patternType="solid">
        <x:fgColor rgb="FFF2F6F8"/>
      </x:patternFill>
    </x:fill>
    <x:fill>
      <x:patternFill patternType="solid">
        <x:fgColor rgb="FF236B78"/>
      </x:patternFill>
    </x:fill>
    <x:fill>
      <x:patternFill patternType="solid">
        <x:fgColor rgb="FFF8FBFD"/>
      </x:patternFill>
    </x:fill>
    <x:fill>
      <x:patternFill patternType="solid">
        <x:fgColor rgb="FFDFF3E7"/>
      </x:patternFill>
    </x:fill>
    <x:fill>
      <x:patternFill patternType="solid">
        <x:fgColor rgb="FFFBE4ED"/>
      </x:patternFill>
    </x:fill>
    <x:fill>
      <x:patternFill patternType="solid">
        <x:fgColor rgb="FFE6F1F8"/>
      </x:patternFill>
    </x:fill>
    <x:fill>
      <x:patternFill patternType="solid">
        <x:fgColor rgb="FFFFF1C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6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0" fillId="5" borderId="1" xfId="0" applyNumberFormat="1" applyFont="1" applyFill="1" applyBorder="1"/>
    <x:xf numFmtId="0" fontId="4" fillId="5" borderId="1"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4" xfId="0" applyNumberFormat="1" applyFont="1" applyFill="1" applyBorder="1" applyAlignment="1">
      <x:alignment horizontal="center"/>
    </x:xf>
    <x:xf numFmtId="0" fontId="5" fillId="3" borderId="1"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5" xfId="0" applyNumberFormat="1" applyFont="1" applyFill="1" applyBorder="1" applyAlignment="1">
      <x:alignment horizontal="center"/>
    </x:xf>
    <x:xf numFmtId="0" fontId="5" fillId="3" borderId="6" xfId="0" applyNumberFormat="1" applyFont="1" applyFill="1" applyBorder="1" applyAlignment="1">
      <x:alignment horizontal="center"/>
    </x:xf>
    <x:xf numFmtId="0" fontId="5" fillId="3" borderId="7" xfId="0" applyNumberFormat="1" applyFont="1" applyFill="1" applyBorder="1" applyAlignment="1">
      <x:alignment horizontal="center"/>
    </x:xf>
    <x:xf numFmtId="0" fontId="6" fillId="5" borderId="0"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2" xfId="0" applyNumberFormat="1" applyFont="1" applyFill="1" applyBorder="1" applyAlignment="1">
      <x:alignment horizontal="center" wrapText="1"/>
    </x:xf>
    <x:xf numFmtId="0" fontId="6" fillId="5" borderId="3" xfId="0" applyNumberFormat="1" applyFont="1" applyFill="1" applyBorder="1" applyAlignment="1">
      <x:alignment horizontal="center" wrapText="1"/>
    </x:xf>
    <x:xf numFmtId="0" fontId="6" fillId="5" borderId="4" xfId="0" applyNumberFormat="1" applyFont="1" applyFill="1" applyBorder="1" applyAlignment="1">
      <x:alignment horizontal="center" wrapText="1"/>
    </x:xf>
    <x:xf numFmtId="0" fontId="6" fillId="5" borderId="1"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5" xfId="0" applyNumberFormat="1" applyFont="1" applyFill="1" applyBorder="1" applyAlignment="1">
      <x:alignment horizontal="center" wrapText="1"/>
    </x:xf>
    <x:xf numFmtId="0" fontId="6" fillId="5" borderId="6" xfId="0" applyNumberFormat="1" applyFont="1" applyFill="1" applyBorder="1" applyAlignment="1">
      <x:alignment horizontal="center" wrapText="1"/>
    </x:xf>
    <x:xf numFmtId="0" fontId="6" fillId="5" borderId="7" xfId="0" applyNumberFormat="1" applyFont="1" applyFill="1" applyBorder="1" applyAlignment="1">
      <x:alignment horizontal="center" wrapText="1"/>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4"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1" xfId="0" applyNumberFormat="1" applyFont="1" applyFill="1" applyBorder="1"/>
    <x:xf numFmtId="0" fontId="3" fillId="2" borderId="5"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3" fillId="2" borderId="5" xfId="0" applyNumberFormat="1" applyFont="1" applyFill="1" applyBorder="1" applyAlignment="1">
      <x:alignment horizontal="center"/>
    </x:xf>
    <x:xf numFmtId="0" fontId="3" fillId="2" borderId="6" xfId="0" applyNumberFormat="1" applyFont="1" applyFill="1" applyBorder="1" applyAlignment="1">
      <x:alignment horizontal="center"/>
    </x:xf>
    <x:xf numFmtId="0" fontId="3" fillId="2" borderId="7" xfId="0" applyNumberFormat="1" applyFont="1" applyFill="1" applyBorder="1" applyAlignment="1">
      <x:alignment horizont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14" xfId="0" applyNumberFormat="1" applyFont="1" applyFill="1" applyBorder="1" applyAlignment="1">
      <x:alignment horizontal="center"/>
    </x:xf>
    <x:xf numFmtId="0" fontId="0" fillId="0" borderId="15" xfId="0" applyNumberFormat="1" applyFont="1" applyFill="1" applyBorder="1" applyAlignment="1">
      <x:alignment horizontal="center"/>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horizontal="center"/>
    </x:xf>
    <x:xf numFmtId="0" fontId="0" fillId="0" borderId="17"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20" xfId="0" applyNumberFormat="1" applyFont="1" applyFill="1" applyBorder="1" applyAlignment="1">
      <x:alignment horizontal="center"/>
    </x:xf>
    <x:xf numFmtId="0" fontId="0" fillId="0" borderId="21"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0" borderId="23" xfId="0" applyNumberFormat="1" applyFont="1" applyFill="1" applyBorder="1" applyAlignment="1">
      <x:alignment horizontal="center"/>
    </x:xf>
    <x:xf numFmtId="200" fontId="0" fillId="0" borderId="9"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4" xfId="0" applyNumberFormat="1" applyFont="1" applyFill="1" applyBorder="1" applyAlignment="1">
      <x:alignment horizontal="center"/>
    </x:xf>
    <x:xf numFmtId="200" fontId="0" fillId="0" borderId="17" xfId="0" applyNumberFormat="1" applyFont="1" applyFill="1" applyBorder="1" applyAlignment="1">
      <x:alignment horizontal="center"/>
    </x:xf>
    <x:xf numFmtId="200" fontId="0" fillId="0" borderId="1" xfId="0" applyNumberFormat="1" applyFont="1" applyFill="1" applyBorder="1" applyAlignment="1">
      <x:alignment horizontal="center"/>
    </x:xf>
    <x:xf numFmtId="200" fontId="0" fillId="0" borderId="22" xfId="0" applyNumberFormat="1" applyFont="1" applyFill="1" applyBorder="1" applyAlignment="1">
      <x:alignment horizontal="center"/>
    </x:xf>
    <x:xf numFmtId="201" fontId="0" fillId="0" borderId="9" xfId="0" applyNumberFormat="1" applyFont="1" applyFill="1" applyBorder="1" applyAlignment="1">
      <x:alignment horizontal="center"/>
    </x:xf>
    <x:xf numFmtId="201" fontId="0" fillId="0" borderId="0" xfId="0" applyNumberFormat="1" applyFont="1" applyFill="1" applyBorder="1" applyAlignment="1">
      <x:alignment horizontal="center"/>
    </x:xf>
    <x:xf numFmtId="201" fontId="0" fillId="0" borderId="14" xfId="0" applyNumberFormat="1" applyFont="1" applyFill="1" applyBorder="1" applyAlignment="1">
      <x:alignment horizontal="center"/>
    </x:xf>
    <x:xf numFmtId="201" fontId="0" fillId="0" borderId="17" xfId="0" applyNumberFormat="1" applyFont="1" applyFill="1" applyBorder="1" applyAlignment="1">
      <x:alignment horizontal="center"/>
    </x:xf>
    <x:xf numFmtId="201" fontId="0" fillId="0" borderId="1" xfId="0" applyNumberFormat="1" applyFont="1" applyFill="1" applyBorder="1" applyAlignment="1">
      <x:alignment horizontal="center"/>
    </x:xf>
    <x:xf numFmtId="201" fontId="0" fillId="0" borderId="22" xfId="0" applyNumberFormat="1" applyFont="1" applyFill="1" applyBorder="1" applyAlignment="1">
      <x:alignment horizontal="center"/>
    </x:xf>
    <x:xf numFmtId="202" fontId="0" fillId="0" borderId="10" xfId="0" applyNumberFormat="1" applyFont="1" applyFill="1" applyBorder="1" applyAlignment="1">
      <x:alignment horizontal="center"/>
    </x:xf>
    <x:xf numFmtId="202" fontId="0" fillId="0" borderId="12" xfId="0" applyNumberFormat="1" applyFont="1" applyFill="1" applyBorder="1" applyAlignment="1">
      <x:alignment horizontal="center"/>
    </x:xf>
    <x:xf numFmtId="202" fontId="0" fillId="0" borderId="15" xfId="0" applyNumberFormat="1" applyFont="1" applyFill="1" applyBorder="1" applyAlignment="1">
      <x:alignment horizontal="center"/>
    </x:xf>
    <x:xf numFmtId="202" fontId="0" fillId="0" borderId="18" xfId="0" applyNumberFormat="1" applyFont="1" applyFill="1" applyBorder="1" applyAlignment="1">
      <x:alignment horizontal="center"/>
    </x:xf>
    <x:xf numFmtId="202" fontId="0" fillId="0" borderId="20" xfId="0" applyNumberFormat="1" applyFont="1" applyFill="1" applyBorder="1" applyAlignment="1">
      <x:alignment horizontal="center"/>
    </x:xf>
    <x:xf numFmtId="202" fontId="0" fillId="0" borderId="23" xfId="0" applyNumberFormat="1" applyFont="1" applyFill="1" applyBorder="1" applyAlignment="1">
      <x:alignment horizontal="center"/>
    </x:xf>
    <x:xf numFmtId="0" fontId="0" fillId="6" borderId="8" xfId="0" applyNumberFormat="1" applyFont="1" applyFill="1" applyBorder="1" applyAlignment="1">
      <x:alignment horizontal="center"/>
    </x:xf>
    <x:xf numFmtId="0" fontId="0" fillId="6" borderId="9" xfId="0" applyNumberFormat="1" applyFont="1" applyFill="1" applyBorder="1" applyAlignment="1">
      <x:alignment horizontal="center"/>
    </x:xf>
    <x:xf numFmtId="200" fontId="0" fillId="6" borderId="9" xfId="0" applyNumberFormat="1" applyFont="1" applyFill="1" applyBorder="1" applyAlignment="1">
      <x:alignment horizontal="center"/>
    </x:xf>
    <x:xf numFmtId="201" fontId="0" fillId="6" borderId="9" xfId="0" applyNumberFormat="1" applyFont="1" applyFill="1" applyBorder="1" applyAlignment="1">
      <x:alignment horizontal="center"/>
    </x:xf>
    <x:xf numFmtId="202" fontId="0" fillId="6" borderId="10" xfId="0" applyNumberFormat="1" applyFont="1" applyFill="1" applyBorder="1" applyAlignment="1">
      <x:alignment horizontal="center"/>
    </x:xf>
    <x:xf numFmtId="0" fontId="7" fillId="6" borderId="8" xfId="0" applyNumberFormat="1" applyFont="1" applyFill="1" applyBorder="1" applyAlignment="1">
      <x:alignment horizontal="center"/>
    </x:xf>
    <x:xf numFmtId="0" fontId="7" fillId="6" borderId="9" xfId="0" applyNumberFormat="1" applyFont="1" applyFill="1" applyBorder="1" applyAlignment="1">
      <x:alignment horizontal="center"/>
    </x:xf>
    <x:xf numFmtId="200" fontId="7" fillId="6" borderId="9" xfId="0" applyNumberFormat="1" applyFont="1" applyFill="1" applyBorder="1" applyAlignment="1">
      <x:alignment horizontal="center"/>
    </x:xf>
    <x:xf numFmtId="201" fontId="7" fillId="6" borderId="9" xfId="0" applyNumberFormat="1" applyFont="1" applyFill="1" applyBorder="1" applyAlignment="1">
      <x:alignment horizontal="center"/>
    </x:xf>
    <x:xf numFmtId="202" fontId="7" fillId="6" borderId="10" xfId="0" applyNumberFormat="1" applyFont="1" applyFill="1" applyBorder="1" applyAlignment="1">
      <x:alignment horizontal="center"/>
    </x:xf>
    <x:xf numFmtId="0" fontId="7" fillId="6" borderId="2" xfId="0" applyNumberFormat="1" applyFont="1" applyFill="1" applyBorder="1" applyAlignment="1">
      <x:alignment horizontal="center"/>
    </x:xf>
    <x:xf numFmtId="0" fontId="7" fillId="6" borderId="3" xfId="0" applyNumberFormat="1" applyFont="1" applyFill="1" applyBorder="1" applyAlignment="1">
      <x:alignment horizontal="center"/>
    </x:xf>
    <x:xf numFmtId="200" fontId="7" fillId="6" borderId="3" xfId="0" applyNumberFormat="1" applyFont="1" applyFill="1" applyBorder="1" applyAlignment="1">
      <x:alignment horizontal="center"/>
    </x:xf>
    <x:xf numFmtId="201" fontId="7" fillId="6" borderId="3" xfId="0" applyNumberFormat="1" applyFont="1" applyFill="1" applyBorder="1" applyAlignment="1">
      <x:alignment horizontal="center"/>
    </x:xf>
    <x:xf numFmtId="202" fontId="7" fillId="6" borderId="4" xfId="0" applyNumberFormat="1" applyFont="1" applyFill="1" applyBorder="1" applyAlignment="1">
      <x:alignment horizontal="center"/>
    </x:xf>
    <x:xf numFmtId="0" fontId="0" fillId="6" borderId="16" xfId="0" applyNumberFormat="1" applyFont="1" applyFill="1" applyBorder="1" applyAlignment="1">
      <x:alignment horizontal="center"/>
    </x:xf>
    <x:xf numFmtId="0" fontId="0" fillId="6" borderId="17" xfId="0" applyNumberFormat="1" applyFont="1" applyFill="1" applyBorder="1" applyAlignment="1">
      <x:alignment horizontal="center"/>
    </x:xf>
    <x:xf numFmtId="200" fontId="0" fillId="6" borderId="17" xfId="0" applyNumberFormat="1" applyFont="1" applyFill="1" applyBorder="1" applyAlignment="1">
      <x:alignment horizontal="center"/>
    </x:xf>
    <x:xf numFmtId="201" fontId="0" fillId="6" borderId="17" xfId="0" applyNumberFormat="1" applyFont="1" applyFill="1" applyBorder="1" applyAlignment="1">
      <x:alignment horizontal="center"/>
    </x:xf>
    <x:xf numFmtId="202" fontId="0" fillId="6" borderId="18" xfId="0" applyNumberFormat="1" applyFont="1" applyFill="1" applyBorder="1" applyAlignment="1">
      <x:alignment horizontal="center"/>
    </x:xf>
    <x:xf numFmtId="0" fontId="7" fillId="6" borderId="16" xfId="0" applyNumberFormat="1" applyFont="1" applyFill="1" applyBorder="1" applyAlignment="1">
      <x:alignment horizontal="center"/>
    </x:xf>
    <x:xf numFmtId="0" fontId="7" fillId="6" borderId="17" xfId="0" applyNumberFormat="1" applyFont="1" applyFill="1" applyBorder="1" applyAlignment="1">
      <x:alignment horizontal="center"/>
    </x:xf>
    <x:xf numFmtId="200" fontId="7" fillId="6" borderId="17" xfId="0" applyNumberFormat="1" applyFont="1" applyFill="1" applyBorder="1" applyAlignment="1">
      <x:alignment horizontal="center"/>
    </x:xf>
    <x:xf numFmtId="201" fontId="7" fillId="6" borderId="17" xfId="0" applyNumberFormat="1" applyFont="1" applyFill="1" applyBorder="1" applyAlignment="1">
      <x:alignment horizontal="center"/>
    </x:xf>
    <x:xf numFmtId="202" fontId="7" fillId="6" borderId="18" xfId="0" applyNumberFormat="1" applyFont="1" applyFill="1" applyBorder="1" applyAlignment="1">
      <x:alignment horizontal="center"/>
    </x:xf>
    <x:xf numFmtId="0" fontId="7" fillId="6" borderId="5" xfId="0" applyNumberFormat="1" applyFont="1" applyFill="1" applyBorder="1" applyAlignment="1">
      <x:alignment horizontal="center"/>
    </x:xf>
    <x:xf numFmtId="0" fontId="7" fillId="6" borderId="6" xfId="0" applyNumberFormat="1" applyFont="1" applyFill="1" applyBorder="1" applyAlignment="1">
      <x:alignment horizontal="center"/>
    </x:xf>
    <x:xf numFmtId="200" fontId="7" fillId="6" borderId="6" xfId="0" applyNumberFormat="1" applyFont="1" applyFill="1" applyBorder="1" applyAlignment="1">
      <x:alignment horizontal="center"/>
    </x:xf>
    <x:xf numFmtId="201" fontId="7" fillId="6" borderId="6" xfId="0" applyNumberFormat="1" applyFont="1" applyFill="1" applyBorder="1" applyAlignment="1">
      <x:alignment horizontal="center"/>
    </x:xf>
    <x:xf numFmtId="202" fontId="7" fillId="6" borderId="7" xfId="0" applyNumberFormat="1" applyFont="1" applyFill="1" applyBorder="1" applyAlignment="1">
      <x:alignment horizontal="center"/>
    </x:xf>
    <x:xf numFmtId="0" fontId="0" fillId="7" borderId="13" xfId="0" applyNumberFormat="1" applyFont="1" applyFill="1" applyBorder="1" applyAlignment="1">
      <x:alignment horizontal="center"/>
    </x:xf>
    <x:xf numFmtId="0" fontId="0" fillId="7" borderId="14" xfId="0" applyNumberFormat="1" applyFont="1" applyFill="1" applyBorder="1" applyAlignment="1">
      <x:alignment horizontal="center"/>
    </x:xf>
    <x:xf numFmtId="200" fontId="0" fillId="7" borderId="14" xfId="0" applyNumberFormat="1" applyFont="1" applyFill="1" applyBorder="1" applyAlignment="1">
      <x:alignment horizontal="center"/>
    </x:xf>
    <x:xf numFmtId="201" fontId="0" fillId="7" borderId="14" xfId="0" applyNumberFormat="1" applyFont="1" applyFill="1" applyBorder="1" applyAlignment="1">
      <x:alignment horizontal="center"/>
    </x:xf>
    <x:xf numFmtId="202" fontId="0" fillId="7" borderId="15" xfId="0" applyNumberFormat="1" applyFont="1" applyFill="1" applyBorder="1" applyAlignment="1">
      <x:alignment horizontal="center"/>
    </x:xf>
    <x:xf numFmtId="0" fontId="8" fillId="7" borderId="13" xfId="0" applyNumberFormat="1" applyFont="1" applyFill="1" applyBorder="1" applyAlignment="1">
      <x:alignment horizontal="center"/>
    </x:xf>
    <x:xf numFmtId="0" fontId="8" fillId="7" borderId="14" xfId="0" applyNumberFormat="1" applyFont="1" applyFill="1" applyBorder="1" applyAlignment="1">
      <x:alignment horizontal="center"/>
    </x:xf>
    <x:xf numFmtId="200" fontId="8" fillId="7" borderId="14" xfId="0" applyNumberFormat="1" applyFont="1" applyFill="1" applyBorder="1" applyAlignment="1">
      <x:alignment horizontal="center"/>
    </x:xf>
    <x:xf numFmtId="201" fontId="8" fillId="7" borderId="14" xfId="0" applyNumberFormat="1" applyFont="1" applyFill="1" applyBorder="1" applyAlignment="1">
      <x:alignment horizontal="center"/>
    </x:xf>
    <x:xf numFmtId="202" fontId="8" fillId="7" borderId="15" xfId="0" applyNumberFormat="1" applyFont="1" applyFill="1" applyBorder="1" applyAlignment="1">
      <x:alignment horizontal="center"/>
    </x:xf>
    <x:xf numFmtId="0" fontId="8" fillId="7" borderId="2" xfId="0" applyNumberFormat="1" applyFont="1" applyFill="1" applyBorder="1" applyAlignment="1">
      <x:alignment horizontal="center"/>
    </x:xf>
    <x:xf numFmtId="0" fontId="8" fillId="7" borderId="3" xfId="0" applyNumberFormat="1" applyFont="1" applyFill="1" applyBorder="1" applyAlignment="1">
      <x:alignment horizontal="center"/>
    </x:xf>
    <x:xf numFmtId="200" fontId="8" fillId="7" borderId="3" xfId="0" applyNumberFormat="1" applyFont="1" applyFill="1" applyBorder="1" applyAlignment="1">
      <x:alignment horizontal="center"/>
    </x:xf>
    <x:xf numFmtId="201" fontId="8" fillId="7" borderId="3" xfId="0" applyNumberFormat="1" applyFont="1" applyFill="1" applyBorder="1" applyAlignment="1">
      <x:alignment horizontal="center"/>
    </x:xf>
    <x:xf numFmtId="202" fontId="8" fillId="7" borderId="4" xfId="0" applyNumberFormat="1" applyFont="1" applyFill="1" applyBorder="1" applyAlignment="1">
      <x:alignment horizontal="center"/>
    </x:xf>
    <x:xf numFmtId="0" fontId="0" fillId="7" borderId="21" xfId="0" applyNumberFormat="1" applyFont="1" applyFill="1" applyBorder="1" applyAlignment="1">
      <x:alignment horizontal="center"/>
    </x:xf>
    <x:xf numFmtId="0" fontId="0" fillId="7" borderId="22" xfId="0" applyNumberFormat="1" applyFont="1" applyFill="1" applyBorder="1" applyAlignment="1">
      <x:alignment horizontal="center"/>
    </x:xf>
    <x:xf numFmtId="200" fontId="0" fillId="7" borderId="22" xfId="0" applyNumberFormat="1" applyFont="1" applyFill="1" applyBorder="1" applyAlignment="1">
      <x:alignment horizontal="center"/>
    </x:xf>
    <x:xf numFmtId="201" fontId="0" fillId="7" borderId="22" xfId="0" applyNumberFormat="1" applyFont="1" applyFill="1" applyBorder="1" applyAlignment="1">
      <x:alignment horizontal="center"/>
    </x:xf>
    <x:xf numFmtId="202" fontId="0" fillId="7" borderId="23" xfId="0" applyNumberFormat="1" applyFont="1" applyFill="1" applyBorder="1" applyAlignment="1">
      <x:alignment horizontal="center"/>
    </x:xf>
    <x:xf numFmtId="0" fontId="8" fillId="7" borderId="21" xfId="0" applyNumberFormat="1" applyFont="1" applyFill="1" applyBorder="1" applyAlignment="1">
      <x:alignment horizontal="center"/>
    </x:xf>
    <x:xf numFmtId="0" fontId="8" fillId="7" borderId="22" xfId="0" applyNumberFormat="1" applyFont="1" applyFill="1" applyBorder="1" applyAlignment="1">
      <x:alignment horizontal="center"/>
    </x:xf>
    <x:xf numFmtId="200" fontId="8" fillId="7" borderId="22" xfId="0" applyNumberFormat="1" applyFont="1" applyFill="1" applyBorder="1" applyAlignment="1">
      <x:alignment horizontal="center"/>
    </x:xf>
    <x:xf numFmtId="201" fontId="8" fillId="7" borderId="22" xfId="0" applyNumberFormat="1" applyFont="1" applyFill="1" applyBorder="1" applyAlignment="1">
      <x:alignment horizontal="center"/>
    </x:xf>
    <x:xf numFmtId="202" fontId="8" fillId="7" borderId="23" xfId="0" applyNumberFormat="1" applyFont="1" applyFill="1" applyBorder="1" applyAlignment="1">
      <x:alignment horizontal="center"/>
    </x:xf>
    <x:xf numFmtId="0" fontId="8" fillId="7" borderId="5" xfId="0" applyNumberFormat="1" applyFont="1" applyFill="1" applyBorder="1" applyAlignment="1">
      <x:alignment horizontal="center"/>
    </x:xf>
    <x:xf numFmtId="0" fontId="8" fillId="7" borderId="6" xfId="0" applyNumberFormat="1" applyFont="1" applyFill="1" applyBorder="1" applyAlignment="1">
      <x:alignment horizontal="center"/>
    </x:xf>
    <x:xf numFmtId="200" fontId="8" fillId="7" borderId="6" xfId="0" applyNumberFormat="1" applyFont="1" applyFill="1" applyBorder="1" applyAlignment="1">
      <x:alignment horizontal="center"/>
    </x:xf>
    <x:xf numFmtId="201" fontId="8" fillId="7" borderId="6" xfId="0" applyNumberFormat="1" applyFont="1" applyFill="1" applyBorder="1" applyAlignment="1">
      <x:alignment horizontal="center"/>
    </x:xf>
    <x:xf numFmtId="202" fontId="8" fillId="7" borderId="7"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5" xfId="0" applyNumberFormat="1" applyFont="1" applyFill="1" applyBorder="1" applyAlignment="1">
      <x:alignment wrapText="1"/>
    </x:xf>
    <x:xf numFmtId="0" fontId="7" fillId="6" borderId="8"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7" fillId="6" borderId="15"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8" xfId="0" applyNumberFormat="1" applyFont="1" applyFill="1" applyBorder="1"/>
    <x:xf numFmtId="0" fontId="7" fillId="6" borderId="19" xfId="0" applyNumberFormat="1" applyFont="1" applyFill="1" applyBorder="1"/>
    <x:xf numFmtId="0" fontId="7" fillId="6" borderId="20" xfId="0" applyNumberFormat="1" applyFont="1" applyFill="1" applyBorder="1"/>
    <x:xf numFmtId="0" fontId="7" fillId="6" borderId="21" xfId="0" applyNumberFormat="1" applyFont="1" applyFill="1" applyBorder="1"/>
    <x:xf numFmtId="0" fontId="7" fillId="6" borderId="22" xfId="0" applyNumberFormat="1" applyFont="1" applyFill="1" applyBorder="1"/>
    <x:xf numFmtId="0" fontId="7" fillId="6" borderId="23" xfId="0" applyNumberFormat="1" applyFont="1" applyFill="1" applyBorder="1"/>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8" xfId="0" applyNumberFormat="1" applyFont="1" applyFill="1" applyBorder="1" applyAlignment="1">
      <x:alignment wrapText="1"/>
    </x:xf>
    <x:xf numFmtId="0" fontId="7" fillId="6" borderId="19" xfId="0" applyNumberFormat="1" applyFont="1" applyFill="1" applyBorder="1" applyAlignment="1">
      <x:alignment wrapText="1"/>
    </x:xf>
    <x:xf numFmtId="0" fontId="7" fillId="6" borderId="1" xfId="0" applyNumberFormat="1" applyFont="1" applyFill="1" applyBorder="1" applyAlignment="1">
      <x:alignment wrapText="1"/>
    </x:xf>
    <x:xf numFmtId="0" fontId="7" fillId="6" borderId="20" xfId="0" applyNumberFormat="1" applyFont="1" applyFill="1" applyBorder="1" applyAlignment="1">
      <x:alignment wrapText="1"/>
    </x:xf>
    <x:xf numFmtId="0" fontId="7" fillId="6" borderId="21" xfId="0" applyNumberFormat="1" applyFont="1" applyFill="1" applyBorder="1" applyAlignment="1">
      <x:alignment wrapText="1"/>
    </x:xf>
    <x:xf numFmtId="0" fontId="7" fillId="6" borderId="22" xfId="0" applyNumberFormat="1" applyFont="1" applyFill="1" applyBorder="1" applyAlignment="1">
      <x:alignment wrapText="1"/>
    </x:xf>
    <x:xf numFmtId="0" fontId="7" fillId="6" borderId="23" xfId="0" applyNumberFormat="1" applyFont="1" applyFill="1" applyBorder="1" applyAlignment="1">
      <x:alignment wrapText="1"/>
    </x:xf>
    <x:xf numFmtId="0" fontId="7" fillId="6" borderId="16" xfId="0" applyNumberFormat="1" applyFont="1" applyFill="1" applyBorder="1" applyAlignment="1">
      <x:alignment vertical="center" wrapText="1"/>
    </x:xf>
    <x:xf numFmtId="0" fontId="7" fillId="6" borderId="17" xfId="0" applyNumberFormat="1" applyFont="1" applyFill="1" applyBorder="1" applyAlignment="1">
      <x:alignment vertical="center" wrapText="1"/>
    </x:xf>
    <x:xf numFmtId="0" fontId="7" fillId="6" borderId="18" xfId="0" applyNumberFormat="1" applyFont="1" applyFill="1" applyBorder="1" applyAlignment="1">
      <x:alignment vertical="center" wrapText="1"/>
    </x:xf>
    <x:xf numFmtId="0" fontId="7" fillId="6" borderId="19" xfId="0" applyNumberFormat="1" applyFont="1" applyFill="1" applyBorder="1" applyAlignment="1">
      <x:alignment vertical="center" wrapText="1"/>
    </x:xf>
    <x:xf numFmtId="0" fontId="7" fillId="6" borderId="1" xfId="0" applyNumberFormat="1" applyFont="1" applyFill="1" applyBorder="1" applyAlignment="1">
      <x:alignment vertical="center" wrapText="1"/>
    </x:xf>
    <x:xf numFmtId="0" fontId="7" fillId="6" borderId="20" xfId="0" applyNumberFormat="1" applyFont="1" applyFill="1" applyBorder="1" applyAlignment="1">
      <x:alignment vertical="center" wrapText="1"/>
    </x:xf>
    <x:xf numFmtId="0" fontId="7" fillId="6" borderId="21" xfId="0" applyNumberFormat="1" applyFont="1" applyFill="1" applyBorder="1" applyAlignment="1">
      <x:alignment vertical="center" wrapText="1"/>
    </x:xf>
    <x:xf numFmtId="0" fontId="7" fillId="6" borderId="22" xfId="0" applyNumberFormat="1" applyFont="1" applyFill="1" applyBorder="1" applyAlignment="1">
      <x:alignment vertical="center" wrapText="1"/>
    </x:xf>
    <x:xf numFmtId="0" fontId="7" fillId="6" borderId="23" xfId="0" applyNumberFormat="1" applyFont="1" applyFill="1" applyBorder="1" applyAlignment="1">
      <x:alignment vertical="center" wrapText="1"/>
    </x:xf>
    <x:xf numFmtId="0" fontId="9" fillId="3" borderId="0" xfId="0" applyNumberFormat="1" applyFont="1" applyFill="1" applyBorder="1"/>
    <x:xf numFmtId="0" fontId="9" fillId="3" borderId="8" xfId="0" applyNumberFormat="1" applyFont="1" applyFill="1" applyBorder="1"/>
    <x:xf numFmtId="0" fontId="9" fillId="3" borderId="10" xfId="0" applyNumberFormat="1" applyFont="1" applyFill="1" applyBorder="1"/>
    <x:xf numFmtId="0" fontId="9" fillId="3" borderId="11" xfId="0" applyNumberFormat="1" applyFont="1" applyFill="1" applyBorder="1"/>
    <x:xf numFmtId="0" fontId="9" fillId="3" borderId="12" xfId="0" applyNumberFormat="1" applyFont="1" applyFill="1" applyBorder="1"/>
    <x:xf numFmtId="0" fontId="9" fillId="3" borderId="13" xfId="0" applyNumberFormat="1" applyFont="1" applyFill="1" applyBorder="1"/>
    <x:xf numFmtId="0" fontId="9" fillId="3" borderId="15" xfId="0" applyNumberFormat="1" applyFont="1" applyFill="1" applyBorder="1"/>
    <x:xf numFmtId="0" fontId="9" fillId="3" borderId="1" xfId="0" applyNumberFormat="1" applyFont="1" applyFill="1" applyBorder="1"/>
    <x:xf numFmtId="0" fontId="9" fillId="3" borderId="16" xfId="0" applyNumberFormat="1" applyFont="1" applyFill="1" applyBorder="1"/>
    <x:xf numFmtId="0" fontId="9" fillId="3" borderId="18" xfId="0" applyNumberFormat="1" applyFont="1" applyFill="1" applyBorder="1"/>
    <x:xf numFmtId="0" fontId="9" fillId="3" borderId="19" xfId="0" applyNumberFormat="1" applyFont="1" applyFill="1" applyBorder="1"/>
    <x:xf numFmtId="0" fontId="9" fillId="3" borderId="20" xfId="0" applyNumberFormat="1" applyFont="1" applyFill="1" applyBorder="1"/>
    <x:xf numFmtId="0" fontId="9" fillId="3" borderId="21" xfId="0" applyNumberFormat="1" applyFont="1" applyFill="1" applyBorder="1"/>
    <x:xf numFmtId="0" fontId="9" fillId="3" borderId="23" xfId="0" applyNumberFormat="1" applyFont="1" applyFill="1" applyBorder="1"/>
    <x:xf numFmtId="0" fontId="10" fillId="5" borderId="0" xfId="0" applyNumberFormat="1" applyFont="1" applyFill="1" applyBorder="1"/>
    <x:xf numFmtId="0" fontId="10" fillId="5" borderId="8" xfId="0" applyNumberFormat="1" applyFont="1" applyFill="1" applyBorder="1"/>
    <x:xf numFmtId="0" fontId="10" fillId="5" borderId="9"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8" xfId="0" applyNumberFormat="1" applyFont="1" applyFill="1" applyBorder="1" applyAlignment="1">
      <x:alignment wrapText="1"/>
    </x:xf>
    <x:xf numFmtId="0" fontId="10" fillId="5" borderId="9" xfId="0" applyNumberFormat="1" applyFont="1" applyFill="1" applyBorder="1" applyAlignment="1">
      <x:alignment wrapText="1"/>
    </x:xf>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1" xfId="0" applyNumberFormat="1" applyFont="1" applyFill="1" applyBorder="1"/>
    <x:xf numFmtId="0" fontId="10" fillId="5" borderId="16" xfId="0" applyNumberFormat="1" applyFont="1" applyFill="1" applyBorder="1"/>
    <x:xf numFmtId="0" fontId="10" fillId="5" borderId="17"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22" xfId="0" applyNumberFormat="1" applyFont="1" applyFill="1" applyBorder="1"/>
    <x:xf numFmtId="0" fontId="10" fillId="5" borderId="23" xfId="0" applyNumberFormat="1" applyFont="1" applyFill="1" applyBorder="1"/>
    <x:xf numFmtId="0" fontId="10" fillId="5" borderId="16" xfId="0" applyNumberFormat="1" applyFont="1" applyFill="1" applyBorder="1" applyAlignment="1">
      <x:alignment wrapText="1"/>
    </x:xf>
    <x:xf numFmtId="0" fontId="10" fillId="5" borderId="17" xfId="0" applyNumberFormat="1" applyFont="1" applyFill="1" applyBorder="1" applyAlignment="1">
      <x:alignment wrapText="1"/>
    </x:xf>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1"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21" xfId="0" applyNumberFormat="1" applyFont="1" applyFill="1" applyBorder="1" applyAlignment="1">
      <x:alignment wrapText="1"/>
    </x:xf>
    <x:xf numFmtId="0" fontId="10" fillId="5" borderId="22" xfId="0" applyNumberFormat="1" applyFont="1" applyFill="1" applyBorder="1" applyAlignment="1">
      <x:alignment wrapText="1"/>
    </x:xf>
    <x:xf numFmtId="0" fontId="10" fillId="5" borderId="23"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3" fontId="0" fillId="0" borderId="9" xfId="0" applyNumberFormat="1" applyFont="1" applyFill="1" applyBorder="1" applyAlignment="1">
      <x:alignment horizontal="center"/>
    </x:xf>
    <x:xf numFmtId="203" fontId="0" fillId="0" borderId="0" xfId="0" applyNumberFormat="1" applyFont="1" applyFill="1" applyBorder="1" applyAlignment="1">
      <x:alignment horizontal="center"/>
    </x:xf>
    <x:xf numFmtId="203" fontId="0" fillId="0" borderId="14" xfId="0" applyNumberFormat="1" applyFont="1" applyFill="1" applyBorder="1" applyAlignment="1">
      <x:alignment horizontal="center"/>
    </x:xf>
    <x:xf numFmtId="203" fontId="0" fillId="0" borderId="17" xfId="0" applyNumberFormat="1" applyFont="1" applyFill="1" applyBorder="1" applyAlignment="1">
      <x:alignment horizontal="center"/>
    </x:xf>
    <x:xf numFmtId="203" fontId="0" fillId="0" borderId="1" xfId="0" applyNumberFormat="1" applyFont="1" applyFill="1" applyBorder="1" applyAlignment="1">
      <x:alignment horizontal="center"/>
    </x:xf>
    <x:xf numFmtId="203" fontId="0" fillId="0" borderId="22" xfId="0" applyNumberFormat="1" applyFont="1" applyFill="1" applyBorder="1" applyAlignment="1">
      <x:alignment horizontal="center"/>
    </x:xf>
    <x:xf numFmtId="203" fontId="0" fillId="6" borderId="9" xfId="0" applyNumberFormat="1" applyFont="1" applyFill="1" applyBorder="1" applyAlignment="1">
      <x:alignment horizontal="center"/>
    </x:xf>
    <x:xf numFmtId="203" fontId="7" fillId="6" borderId="9" xfId="0" applyNumberFormat="1" applyFont="1" applyFill="1" applyBorder="1" applyAlignment="1">
      <x:alignment horizontal="center"/>
    </x:xf>
    <x:xf numFmtId="203" fontId="7" fillId="6" borderId="3" xfId="0" applyNumberFormat="1" applyFont="1" applyFill="1" applyBorder="1" applyAlignment="1">
      <x:alignment horizontal="center"/>
    </x:xf>
    <x:xf numFmtId="203" fontId="0" fillId="6" borderId="17" xfId="0" applyNumberFormat="1" applyFont="1" applyFill="1" applyBorder="1" applyAlignment="1">
      <x:alignment horizontal="center"/>
    </x:xf>
    <x:xf numFmtId="203" fontId="7" fillId="6" borderId="17" xfId="0" applyNumberFormat="1" applyFont="1" applyFill="1" applyBorder="1" applyAlignment="1">
      <x:alignment horizontal="center"/>
    </x:xf>
    <x:xf numFmtId="203" fontId="7" fillId="6" borderId="6" xfId="0" applyNumberFormat="1" applyFont="1" applyFill="1" applyBorder="1" applyAlignment="1">
      <x:alignment horizontal="center"/>
    </x:xf>
    <x:xf numFmtId="0" fontId="0" fillId="6" borderId="11" xfId="0" applyNumberFormat="1" applyFont="1" applyFill="1" applyBorder="1" applyAlignment="1">
      <x:alignment horizontal="center"/>
    </x:xf>
    <x:xf numFmtId="0" fontId="0" fillId="6" borderId="0" xfId="0" applyNumberFormat="1" applyFont="1" applyFill="1" applyBorder="1" applyAlignment="1">
      <x:alignment horizontal="center"/>
    </x:xf>
    <x:xf numFmtId="203" fontId="0" fillId="6" borderId="0" xfId="0" applyNumberFormat="1" applyFont="1" applyFill="1" applyBorder="1" applyAlignment="1">
      <x:alignment horizontal="center"/>
    </x:xf>
    <x:xf numFmtId="202" fontId="0" fillId="6" borderId="12" xfId="0" applyNumberFormat="1" applyFont="1" applyFill="1" applyBorder="1" applyAlignment="1">
      <x:alignment horizontal="center"/>
    </x:xf>
    <x:xf numFmtId="0" fontId="7" fillId="6" borderId="11" xfId="0" applyNumberFormat="1" applyFont="1" applyFill="1" applyBorder="1" applyAlignment="1">
      <x:alignment horizontal="center"/>
    </x:xf>
    <x:xf numFmtId="0" fontId="7" fillId="6" borderId="0" xfId="0" applyNumberFormat="1" applyFont="1" applyFill="1" applyBorder="1" applyAlignment="1">
      <x:alignment horizontal="center"/>
    </x:xf>
    <x:xf numFmtId="203" fontId="7" fillId="6" borderId="0" xfId="0" applyNumberFormat="1" applyFont="1" applyFill="1" applyBorder="1" applyAlignment="1">
      <x:alignment horizontal="center"/>
    </x:xf>
    <x:xf numFmtId="202" fontId="7" fillId="6" borderId="12" xfId="0" applyNumberFormat="1" applyFont="1" applyFill="1" applyBorder="1" applyAlignment="1">
      <x:alignment horizontal="center"/>
    </x:xf>
    <x:xf numFmtId="0" fontId="0" fillId="6" borderId="19" xfId="0" applyNumberFormat="1" applyFont="1" applyFill="1" applyBorder="1" applyAlignment="1">
      <x:alignment horizontal="center"/>
    </x:xf>
    <x:xf numFmtId="0" fontId="0" fillId="6" borderId="1" xfId="0" applyNumberFormat="1" applyFont="1" applyFill="1" applyBorder="1" applyAlignment="1">
      <x:alignment horizontal="center"/>
    </x:xf>
    <x:xf numFmtId="203" fontId="0" fillId="6" borderId="1" xfId="0" applyNumberFormat="1" applyFont="1" applyFill="1" applyBorder="1" applyAlignment="1">
      <x:alignment horizontal="center"/>
    </x:xf>
    <x:xf numFmtId="202" fontId="0" fillId="6" borderId="20" xfId="0" applyNumberFormat="1" applyFont="1" applyFill="1" applyBorder="1" applyAlignment="1">
      <x:alignment horizontal="center"/>
    </x:xf>
    <x:xf numFmtId="0" fontId="7" fillId="6" borderId="19" xfId="0" applyNumberFormat="1" applyFont="1" applyFill="1" applyBorder="1" applyAlignment="1">
      <x:alignment horizontal="center"/>
    </x:xf>
    <x:xf numFmtId="0" fontId="7" fillId="6" borderId="1" xfId="0" applyNumberFormat="1" applyFont="1" applyFill="1" applyBorder="1" applyAlignment="1">
      <x:alignment horizontal="center"/>
    </x:xf>
    <x:xf numFmtId="203" fontId="7" fillId="6" borderId="1" xfId="0" applyNumberFormat="1" applyFont="1" applyFill="1" applyBorder="1" applyAlignment="1">
      <x:alignment horizontal="center"/>
    </x:xf>
    <x:xf numFmtId="202" fontId="7" fillId="6" borderId="20" xfId="0" applyNumberFormat="1" applyFont="1" applyFill="1" applyBorder="1" applyAlignment="1">
      <x:alignment horizontal="center"/>
    </x:xf>
    <x:xf numFmtId="0" fontId="11" fillId="2" borderId="0" xfId="0" applyNumberFormat="1" applyFont="1" applyFill="1" applyBorder="1"/>
    <x:xf numFmtId="0" fontId="11" fillId="2" borderId="0" xfId="0" applyNumberFormat="1" applyFont="1" applyFill="1" applyBorder="1" applyAlignment="1">
      <x:alignment horizontal="left"/>
    </x:xf>
    <x:xf numFmtId="0" fontId="11" fillId="2" borderId="1" xfId="0" applyNumberFormat="1" applyFont="1" applyFill="1" applyBorder="1"/>
    <x:xf numFmtId="0" fontId="11" fillId="2" borderId="1" xfId="0" applyNumberFormat="1" applyFont="1" applyFill="1" applyBorder="1" applyAlignment="1">
      <x:alignment horizontal="left"/>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11"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2" xfId="0" applyNumberFormat="1" applyFont="1" applyFill="1" applyBorder="1" applyAlignment="1">
      <x:alignment vertical="center"/>
    </x:xf>
    <x:xf numFmtId="0" fontId="0" fillId="0" borderId="13"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vertical="center"/>
    </x:xf>
    <x:xf numFmtId="0" fontId="0" fillId="0" borderId="18" xfId="0" applyNumberFormat="1" applyFont="1" applyFill="1" applyBorder="1" applyAlignment="1">
      <x:alignment vertical="center"/>
    </x:xf>
    <x:xf numFmtId="0" fontId="0" fillId="0" borderId="19"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20" xfId="0" applyNumberFormat="1" applyFont="1" applyFill="1" applyBorder="1" applyAlignment="1">
      <x:alignment vertical="center"/>
    </x:xf>
    <x:xf numFmtId="0" fontId="0" fillId="0" borderId="21" xfId="0" applyNumberFormat="1" applyFont="1" applyFill="1" applyBorder="1" applyAlignment="1">
      <x:alignment vertical="center"/>
    </x:xf>
    <x:xf numFmtId="0" fontId="0" fillId="0" borderId="22" xfId="0" applyNumberFormat="1" applyFont="1" applyFill="1" applyBorder="1" applyAlignment="1">
      <x:alignment vertical="center"/>
    </x:xf>
    <x:xf numFmtId="0" fontId="0" fillId="0" borderId="23" xfId="0" applyNumberFormat="1" applyFont="1" applyFill="1" applyBorder="1" applyAlignment="1">
      <x:alignment vertical="center"/>
    </x:xf>
    <x:xf numFmtId="204" fontId="0" fillId="0" borderId="9" xfId="0" applyNumberFormat="1" applyFont="1" applyFill="1" applyBorder="1" applyAlignment="1">
      <x:alignment vertical="center"/>
    </x:xf>
    <x:xf numFmtId="204" fontId="0" fillId="0" borderId="0" xfId="0" applyNumberFormat="1" applyFont="1" applyFill="1" applyBorder="1" applyAlignment="1">
      <x:alignment vertical="center"/>
    </x:xf>
    <x:xf numFmtId="204" fontId="0" fillId="0" borderId="14" xfId="0" applyNumberFormat="1" applyFont="1" applyFill="1" applyBorder="1" applyAlignment="1">
      <x:alignment vertical="center"/>
    </x:xf>
    <x:xf numFmtId="204" fontId="0" fillId="0" borderId="17" xfId="0" applyNumberFormat="1" applyFont="1" applyFill="1" applyBorder="1" applyAlignment="1">
      <x:alignment vertical="center"/>
    </x:xf>
    <x:xf numFmtId="204" fontId="0" fillId="0" borderId="1" xfId="0" applyNumberFormat="1" applyFont="1" applyFill="1" applyBorder="1" applyAlignment="1">
      <x:alignment vertical="center"/>
    </x:xf>
    <x:xf numFmtId="204" fontId="0" fillId="0" borderId="22" xfId="0" applyNumberFormat="1" applyFont="1" applyFill="1" applyBorder="1" applyAlignment="1">
      <x:alignment vertical="center"/>
    </x:xf>
    <x:xf numFmtId="204" fontId="0" fillId="0" borderId="10" xfId="0" applyNumberFormat="1" applyFont="1" applyFill="1" applyBorder="1"/>
    <x:xf numFmtId="204" fontId="0" fillId="0" borderId="12" xfId="0" applyNumberFormat="1" applyFont="1" applyFill="1" applyBorder="1"/>
    <x:xf numFmtId="204" fontId="0" fillId="0" borderId="18" xfId="0" applyNumberFormat="1" applyFont="1" applyFill="1" applyBorder="1"/>
    <x:xf numFmtId="204" fontId="0" fillId="0" borderId="2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8" xfId="0" applyNumberFormat="1" applyFont="1" applyFill="1" applyBorder="1"/>
    <x:xf numFmtId="0" fontId="12" fillId="8" borderId="9" xfId="0" applyNumberFormat="1" applyFont="1" applyFill="1" applyBorder="1"/>
    <x:xf numFmtId="0" fontId="12" fillId="8" borderId="10" xfId="0" applyNumberFormat="1" applyFont="1" applyFill="1" applyBorder="1"/>
    <x:xf numFmtId="0" fontId="12" fillId="8" borderId="11" xfId="0" applyNumberFormat="1" applyFont="1" applyFill="1" applyBorder="1"/>
    <x:xf numFmtId="0" fontId="12" fillId="8" borderId="12" xfId="0" applyNumberFormat="1" applyFont="1" applyFill="1" applyBorder="1"/>
    <x:xf numFmtId="0" fontId="12" fillId="8" borderId="13" xfId="0" applyNumberFormat="1" applyFont="1" applyFill="1" applyBorder="1"/>
    <x:xf numFmtId="0" fontId="12" fillId="8" borderId="14" xfId="0" applyNumberFormat="1" applyFont="1" applyFill="1" applyBorder="1"/>
    <x:xf numFmtId="0" fontId="12" fillId="8" borderId="15" xfId="0" applyNumberFormat="1" applyFont="1" applyFill="1" applyBorder="1"/>
    <x:xf numFmtId="0" fontId="12" fillId="8" borderId="8" xfId="0" applyNumberFormat="1" applyFont="1" applyFill="1" applyBorder="1" applyAlignment="1">
      <x:alignment wrapText="1"/>
    </x:xf>
    <x:xf numFmtId="0" fontId="12" fillId="8" borderId="9" xfId="0" applyNumberFormat="1" applyFont="1" applyFill="1" applyBorder="1" applyAlignment="1">
      <x:alignment wrapText="1"/>
    </x:xf>
    <x:xf numFmtId="0" fontId="12" fillId="8" borderId="10" xfId="0" applyNumberFormat="1" applyFont="1" applyFill="1" applyBorder="1" applyAlignment="1">
      <x:alignment wrapText="1"/>
    </x:xf>
    <x:xf numFmtId="0" fontId="12" fillId="8" borderId="11" xfId="0" applyNumberFormat="1" applyFont="1" applyFill="1" applyBorder="1" applyAlignment="1">
      <x:alignment wrapText="1"/>
    </x:xf>
    <x:xf numFmtId="0" fontId="12" fillId="8" borderId="0" xfId="0" applyNumberFormat="1" applyFont="1" applyFill="1" applyBorder="1" applyAlignment="1">
      <x:alignment wrapText="1"/>
    </x:xf>
    <x:xf numFmtId="0" fontId="12" fillId="8" borderId="12" xfId="0" applyNumberFormat="1" applyFont="1" applyFill="1" applyBorder="1" applyAlignment="1">
      <x:alignment wrapText="1"/>
    </x:xf>
    <x:xf numFmtId="0" fontId="12" fillId="8" borderId="13" xfId="0" applyNumberFormat="1" applyFont="1" applyFill="1" applyBorder="1" applyAlignment="1">
      <x:alignment wrapText="1"/>
    </x:xf>
    <x:xf numFmtId="0" fontId="12" fillId="8" borderId="14" xfId="0" applyNumberFormat="1" applyFont="1" applyFill="1" applyBorder="1" applyAlignment="1">
      <x:alignment wrapText="1"/>
    </x:xf>
    <x:xf numFmtId="0" fontId="12" fillId="8" borderId="15" xfId="0" applyNumberFormat="1" applyFont="1" applyFill="1" applyBorder="1" applyAlignment="1">
      <x:alignment wrapText="1"/>
    </x:xf>
    <x:xf numFmtId="0" fontId="12" fillId="8" borderId="8" xfId="0" applyNumberFormat="1" applyFont="1" applyFill="1" applyBorder="1" applyAlignment="1">
      <x:alignment vertical="center" wrapText="1"/>
    </x:xf>
    <x:xf numFmtId="0" fontId="12" fillId="8" borderId="9" xfId="0" applyNumberFormat="1" applyFont="1" applyFill="1" applyBorder="1" applyAlignment="1">
      <x:alignment vertical="center" wrapText="1"/>
    </x:xf>
    <x:xf numFmtId="0" fontId="12" fillId="8" borderId="10" xfId="0" applyNumberFormat="1" applyFont="1" applyFill="1" applyBorder="1" applyAlignment="1">
      <x:alignment vertical="center" wrapText="1"/>
    </x:xf>
    <x:xf numFmtId="0" fontId="12" fillId="8" borderId="11" xfId="0" applyNumberFormat="1" applyFont="1" applyFill="1" applyBorder="1" applyAlignment="1">
      <x:alignment vertical="center" wrapText="1"/>
    </x:xf>
    <x:xf numFmtId="0" fontId="12" fillId="8" borderId="0" xfId="0" applyNumberFormat="1" applyFont="1" applyFill="1" applyBorder="1" applyAlignment="1">
      <x:alignment vertical="center" wrapText="1"/>
    </x:xf>
    <x:xf numFmtId="0" fontId="12" fillId="8" borderId="12" xfId="0" applyNumberFormat="1" applyFont="1" applyFill="1" applyBorder="1" applyAlignment="1">
      <x:alignment vertical="center" wrapText="1"/>
    </x:xf>
    <x:xf numFmtId="0" fontId="12" fillId="8" borderId="13" xfId="0" applyNumberFormat="1" applyFont="1" applyFill="1" applyBorder="1" applyAlignment="1">
      <x:alignment vertical="center" wrapText="1"/>
    </x:xf>
    <x:xf numFmtId="0" fontId="12" fillId="8" borderId="14" xfId="0" applyNumberFormat="1" applyFont="1" applyFill="1" applyBorder="1" applyAlignment="1">
      <x:alignment vertical="center" wrapText="1"/>
    </x:xf>
    <x:xf numFmtId="0" fontId="12" fillId="8" borderId="15" xfId="0" applyNumberFormat="1" applyFont="1" applyFill="1" applyBorder="1" applyAlignment="1">
      <x:alignment vertical="center" wrapText="1"/>
    </x:xf>
    <x:xf numFmtId="0" fontId="0" fillId="8" borderId="1" xfId="0" applyNumberFormat="1" applyFont="1" applyFill="1" applyBorder="1"/>
    <x:xf numFmtId="0" fontId="12" fillId="8" borderId="1" xfId="0" applyNumberFormat="1" applyFont="1" applyFill="1" applyBorder="1"/>
    <x:xf numFmtId="0" fontId="12" fillId="8" borderId="16" xfId="0" applyNumberFormat="1" applyFont="1" applyFill="1" applyBorder="1"/>
    <x:xf numFmtId="0" fontId="12" fillId="8" borderId="17" xfId="0" applyNumberFormat="1" applyFont="1" applyFill="1" applyBorder="1"/>
    <x:xf numFmtId="0" fontId="12" fillId="8" borderId="18" xfId="0" applyNumberFormat="1" applyFont="1" applyFill="1" applyBorder="1"/>
    <x:xf numFmtId="0" fontId="12" fillId="8" borderId="19" xfId="0" applyNumberFormat="1" applyFont="1" applyFill="1" applyBorder="1"/>
    <x:xf numFmtId="0" fontId="12" fillId="8" borderId="20" xfId="0" applyNumberFormat="1" applyFont="1" applyFill="1" applyBorder="1"/>
    <x:xf numFmtId="0" fontId="12" fillId="8" borderId="21" xfId="0" applyNumberFormat="1" applyFont="1" applyFill="1" applyBorder="1"/>
    <x:xf numFmtId="0" fontId="12" fillId="8" borderId="22" xfId="0" applyNumberFormat="1" applyFont="1" applyFill="1" applyBorder="1"/>
    <x:xf numFmtId="0" fontId="12" fillId="8" borderId="23" xfId="0" applyNumberFormat="1" applyFont="1" applyFill="1" applyBorder="1"/>
    <x:xf numFmtId="0" fontId="12" fillId="8" borderId="16" xfId="0" applyNumberFormat="1" applyFont="1" applyFill="1" applyBorder="1" applyAlignment="1">
      <x:alignment wrapText="1"/>
    </x:xf>
    <x:xf numFmtId="0" fontId="12" fillId="8" borderId="17" xfId="0" applyNumberFormat="1" applyFont="1" applyFill="1" applyBorder="1" applyAlignment="1">
      <x:alignment wrapText="1"/>
    </x:xf>
    <x:xf numFmtId="0" fontId="12" fillId="8" borderId="18" xfId="0" applyNumberFormat="1" applyFont="1" applyFill="1" applyBorder="1" applyAlignment="1">
      <x:alignment wrapText="1"/>
    </x:xf>
    <x:xf numFmtId="0" fontId="12" fillId="8" borderId="19" xfId="0" applyNumberFormat="1" applyFont="1" applyFill="1" applyBorder="1" applyAlignment="1">
      <x:alignment wrapText="1"/>
    </x:xf>
    <x:xf numFmtId="0" fontId="12" fillId="8" borderId="1" xfId="0" applyNumberFormat="1" applyFont="1" applyFill="1" applyBorder="1" applyAlignment="1">
      <x:alignment wrapText="1"/>
    </x:xf>
    <x:xf numFmtId="0" fontId="12" fillId="8" borderId="20" xfId="0" applyNumberFormat="1" applyFont="1" applyFill="1" applyBorder="1" applyAlignment="1">
      <x:alignment wrapText="1"/>
    </x:xf>
    <x:xf numFmtId="0" fontId="12" fillId="8" borderId="21" xfId="0" applyNumberFormat="1" applyFont="1" applyFill="1" applyBorder="1" applyAlignment="1">
      <x:alignment wrapText="1"/>
    </x:xf>
    <x:xf numFmtId="0" fontId="12" fillId="8" borderId="22" xfId="0" applyNumberFormat="1" applyFont="1" applyFill="1" applyBorder="1" applyAlignment="1">
      <x:alignment wrapText="1"/>
    </x:xf>
    <x:xf numFmtId="0" fontId="12" fillId="8" borderId="23" xfId="0" applyNumberFormat="1" applyFont="1" applyFill="1" applyBorder="1" applyAlignment="1">
      <x:alignment wrapText="1"/>
    </x:xf>
    <x:xf numFmtId="0" fontId="12" fillId="8" borderId="16" xfId="0" applyNumberFormat="1" applyFont="1" applyFill="1" applyBorder="1" applyAlignment="1">
      <x:alignment vertical="center" wrapText="1"/>
    </x:xf>
    <x:xf numFmtId="0" fontId="12" fillId="8" borderId="17" xfId="0" applyNumberFormat="1" applyFont="1" applyFill="1" applyBorder="1" applyAlignment="1">
      <x:alignment vertical="center" wrapText="1"/>
    </x:xf>
    <x:xf numFmtId="0" fontId="12" fillId="8" borderId="18" xfId="0" applyNumberFormat="1" applyFont="1" applyFill="1" applyBorder="1" applyAlignment="1">
      <x:alignment vertical="center" wrapText="1"/>
    </x:xf>
    <x:xf numFmtId="0" fontId="12" fillId="8" borderId="19" xfId="0" applyNumberFormat="1" applyFont="1" applyFill="1" applyBorder="1" applyAlignment="1">
      <x:alignment vertical="center" wrapText="1"/>
    </x:xf>
    <x:xf numFmtId="0" fontId="12" fillId="8" borderId="1" xfId="0" applyNumberFormat="1" applyFont="1" applyFill="1" applyBorder="1" applyAlignment="1">
      <x:alignment vertical="center" wrapText="1"/>
    </x:xf>
    <x:xf numFmtId="0" fontId="12" fillId="8" borderId="20" xfId="0" applyNumberFormat="1" applyFont="1" applyFill="1" applyBorder="1" applyAlignment="1">
      <x:alignment vertical="center" wrapText="1"/>
    </x:xf>
    <x:xf numFmtId="0" fontId="12" fillId="8" borderId="21" xfId="0" applyNumberFormat="1" applyFont="1" applyFill="1" applyBorder="1" applyAlignment="1">
      <x:alignment vertical="center" wrapText="1"/>
    </x:xf>
    <x:xf numFmtId="0" fontId="12" fillId="8" borderId="22" xfId="0" applyNumberFormat="1" applyFont="1" applyFill="1" applyBorder="1" applyAlignment="1">
      <x:alignment vertical="center" wrapText="1"/>
    </x:xf>
    <x:xf numFmtId="0" fontId="12" fillId="8" borderId="23" xfId="0" applyNumberFormat="1" applyFont="1" applyFill="1" applyBorder="1" applyAlignment="1">
      <x:alignment vertical="center" wrapText="1"/>
    </x:xf>
    <x:xf numFmtId="0" fontId="0" fillId="9" borderId="0" xfId="0" applyNumberFormat="1" applyFont="1" applyFill="1" applyBorder="1"/>
    <x:xf numFmtId="0" fontId="13" fillId="9" borderId="0" xfId="0" applyNumberFormat="1" applyFont="1" applyFill="1" applyBorder="1"/>
    <x:xf numFmtId="0" fontId="13" fillId="9" borderId="8" xfId="0" applyNumberFormat="1" applyFont="1" applyFill="1" applyBorder="1"/>
    <x:xf numFmtId="0" fontId="13" fillId="9" borderId="9" xfId="0" applyNumberFormat="1" applyFont="1" applyFill="1" applyBorder="1"/>
    <x:xf numFmtId="0" fontId="13" fillId="9" borderId="10" xfId="0" applyNumberFormat="1" applyFont="1" applyFill="1" applyBorder="1"/>
    <x:xf numFmtId="0" fontId="13" fillId="9" borderId="11" xfId="0" applyNumberFormat="1" applyFont="1" applyFill="1" applyBorder="1"/>
    <x:xf numFmtId="0" fontId="13" fillId="9" borderId="12" xfId="0" applyNumberFormat="1" applyFont="1" applyFill="1" applyBorder="1"/>
    <x:xf numFmtId="0" fontId="13" fillId="9" borderId="13" xfId="0" applyNumberFormat="1" applyFont="1" applyFill="1" applyBorder="1"/>
    <x:xf numFmtId="0" fontId="13" fillId="9" borderId="14" xfId="0" applyNumberFormat="1" applyFont="1" applyFill="1" applyBorder="1"/>
    <x:xf numFmtId="0" fontId="13" fillId="9" borderId="15" xfId="0" applyNumberFormat="1" applyFont="1" applyFill="1" applyBorder="1"/>
    <x:xf numFmtId="0" fontId="13" fillId="9" borderId="8" xfId="0" applyNumberFormat="1" applyFont="1" applyFill="1" applyBorder="1" applyAlignment="1">
      <x:alignment wrapText="1"/>
    </x:xf>
    <x:xf numFmtId="0" fontId="13" fillId="9" borderId="9" xfId="0" applyNumberFormat="1" applyFont="1" applyFill="1" applyBorder="1" applyAlignment="1">
      <x:alignment wrapText="1"/>
    </x:xf>
    <x:xf numFmtId="0" fontId="13" fillId="9" borderId="10" xfId="0" applyNumberFormat="1" applyFont="1" applyFill="1" applyBorder="1" applyAlignment="1">
      <x:alignment wrapText="1"/>
    </x:xf>
    <x:xf numFmtId="0" fontId="13" fillId="9" borderId="11" xfId="0" applyNumberFormat="1" applyFont="1" applyFill="1" applyBorder="1" applyAlignment="1">
      <x:alignment wrapText="1"/>
    </x:xf>
    <x:xf numFmtId="0" fontId="13" fillId="9" borderId="0" xfId="0" applyNumberFormat="1" applyFont="1" applyFill="1" applyBorder="1" applyAlignment="1">
      <x:alignment wrapText="1"/>
    </x:xf>
    <x:xf numFmtId="0" fontId="13" fillId="9" borderId="12" xfId="0" applyNumberFormat="1" applyFont="1" applyFill="1" applyBorder="1" applyAlignment="1">
      <x:alignment wrapText="1"/>
    </x:xf>
    <x:xf numFmtId="0" fontId="13" fillId="9" borderId="13" xfId="0" applyNumberFormat="1" applyFont="1" applyFill="1" applyBorder="1" applyAlignment="1">
      <x:alignment wrapText="1"/>
    </x:xf>
    <x:xf numFmtId="0" fontId="13" fillId="9" borderId="14" xfId="0" applyNumberFormat="1" applyFont="1" applyFill="1" applyBorder="1" applyAlignment="1">
      <x:alignment wrapText="1"/>
    </x:xf>
    <x:xf numFmtId="0" fontId="13" fillId="9" borderId="15" xfId="0" applyNumberFormat="1" applyFont="1" applyFill="1" applyBorder="1" applyAlignment="1">
      <x:alignment wrapText="1"/>
    </x:xf>
    <x:xf numFmtId="0" fontId="13" fillId="9" borderId="8" xfId="0" applyNumberFormat="1" applyFont="1" applyFill="1" applyBorder="1" applyAlignment="1">
      <x:alignment vertical="center" wrapText="1"/>
    </x:xf>
    <x:xf numFmtId="0" fontId="13" fillId="9" borderId="9" xfId="0" applyNumberFormat="1" applyFont="1" applyFill="1" applyBorder="1" applyAlignment="1">
      <x:alignment vertical="center" wrapText="1"/>
    </x:xf>
    <x:xf numFmtId="0" fontId="13" fillId="9" borderId="10" xfId="0" applyNumberFormat="1" applyFont="1" applyFill="1" applyBorder="1" applyAlignment="1">
      <x:alignment vertical="center" wrapText="1"/>
    </x:xf>
    <x:xf numFmtId="0" fontId="13" fillId="9" borderId="11" xfId="0" applyNumberFormat="1" applyFont="1" applyFill="1" applyBorder="1" applyAlignment="1">
      <x:alignment vertical="center" wrapText="1"/>
    </x:xf>
    <x:xf numFmtId="0" fontId="13" fillId="9" borderId="0" xfId="0" applyNumberFormat="1" applyFont="1" applyFill="1" applyBorder="1" applyAlignment="1">
      <x:alignment vertical="center" wrapText="1"/>
    </x:xf>
    <x:xf numFmtId="0" fontId="13" fillId="9" borderId="12" xfId="0" applyNumberFormat="1" applyFont="1" applyFill="1" applyBorder="1" applyAlignment="1">
      <x:alignment vertical="center" wrapText="1"/>
    </x:xf>
    <x:xf numFmtId="0" fontId="13" fillId="9" borderId="13" xfId="0" applyNumberFormat="1" applyFont="1" applyFill="1" applyBorder="1" applyAlignment="1">
      <x:alignment vertical="center" wrapText="1"/>
    </x:xf>
    <x:xf numFmtId="0" fontId="13" fillId="9" borderId="14" xfId="0" applyNumberFormat="1" applyFont="1" applyFill="1" applyBorder="1" applyAlignment="1">
      <x:alignment vertical="center" wrapText="1"/>
    </x:xf>
    <x:xf numFmtId="0" fontId="13" fillId="9" borderId="15" xfId="0" applyNumberFormat="1" applyFont="1" applyFill="1" applyBorder="1" applyAlignment="1">
      <x:alignment vertical="center" wrapText="1"/>
    </x:xf>
    <x:xf numFmtId="0" fontId="0" fillId="9" borderId="1" xfId="0" applyNumberFormat="1" applyFont="1" applyFill="1" applyBorder="1"/>
    <x:xf numFmtId="0" fontId="13" fillId="9" borderId="1" xfId="0" applyNumberFormat="1" applyFont="1" applyFill="1" applyBorder="1"/>
    <x:xf numFmtId="0" fontId="13" fillId="9" borderId="16" xfId="0" applyNumberFormat="1" applyFont="1" applyFill="1" applyBorder="1"/>
    <x:xf numFmtId="0" fontId="13" fillId="9" borderId="17" xfId="0" applyNumberFormat="1" applyFont="1" applyFill="1" applyBorder="1"/>
    <x:xf numFmtId="0" fontId="13" fillId="9" borderId="18" xfId="0" applyNumberFormat="1" applyFont="1" applyFill="1" applyBorder="1"/>
    <x:xf numFmtId="0" fontId="13" fillId="9" borderId="19" xfId="0" applyNumberFormat="1" applyFont="1" applyFill="1" applyBorder="1"/>
    <x:xf numFmtId="0" fontId="13" fillId="9" borderId="20" xfId="0" applyNumberFormat="1" applyFont="1" applyFill="1" applyBorder="1"/>
    <x:xf numFmtId="0" fontId="13" fillId="9" borderId="21" xfId="0" applyNumberFormat="1" applyFont="1" applyFill="1" applyBorder="1"/>
    <x:xf numFmtId="0" fontId="13" fillId="9" borderId="22" xfId="0" applyNumberFormat="1" applyFont="1" applyFill="1" applyBorder="1"/>
    <x:xf numFmtId="0" fontId="13" fillId="9" borderId="23" xfId="0" applyNumberFormat="1" applyFont="1" applyFill="1" applyBorder="1"/>
    <x:xf numFmtId="0" fontId="13" fillId="9" borderId="16" xfId="0" applyNumberFormat="1" applyFont="1" applyFill="1" applyBorder="1" applyAlignment="1">
      <x:alignment wrapText="1"/>
    </x:xf>
    <x:xf numFmtId="0" fontId="13" fillId="9" borderId="17" xfId="0" applyNumberFormat="1" applyFont="1" applyFill="1" applyBorder="1" applyAlignment="1">
      <x:alignment wrapText="1"/>
    </x:xf>
    <x:xf numFmtId="0" fontId="13" fillId="9" borderId="18" xfId="0" applyNumberFormat="1" applyFont="1" applyFill="1" applyBorder="1" applyAlignment="1">
      <x:alignment wrapText="1"/>
    </x:xf>
    <x:xf numFmtId="0" fontId="13" fillId="9" borderId="19" xfId="0" applyNumberFormat="1" applyFont="1" applyFill="1" applyBorder="1" applyAlignment="1">
      <x:alignment wrapText="1"/>
    </x:xf>
    <x:xf numFmtId="0" fontId="13" fillId="9" borderId="1" xfId="0" applyNumberFormat="1" applyFont="1" applyFill="1" applyBorder="1" applyAlignment="1">
      <x:alignment wrapText="1"/>
    </x:xf>
    <x:xf numFmtId="0" fontId="13" fillId="9" borderId="20" xfId="0" applyNumberFormat="1" applyFont="1" applyFill="1" applyBorder="1" applyAlignment="1">
      <x:alignment wrapText="1"/>
    </x:xf>
    <x:xf numFmtId="0" fontId="13" fillId="9" borderId="21" xfId="0" applyNumberFormat="1" applyFont="1" applyFill="1" applyBorder="1" applyAlignment="1">
      <x:alignment wrapText="1"/>
    </x:xf>
    <x:xf numFmtId="0" fontId="13" fillId="9" borderId="22" xfId="0" applyNumberFormat="1" applyFont="1" applyFill="1" applyBorder="1" applyAlignment="1">
      <x:alignment wrapText="1"/>
    </x:xf>
    <x:xf numFmtId="0" fontId="13" fillId="9" borderId="23" xfId="0" applyNumberFormat="1" applyFont="1" applyFill="1" applyBorder="1" applyAlignment="1">
      <x:alignment wrapText="1"/>
    </x:xf>
    <x:xf numFmtId="0" fontId="13" fillId="9" borderId="16" xfId="0" applyNumberFormat="1" applyFont="1" applyFill="1" applyBorder="1" applyAlignment="1">
      <x:alignment vertical="center" wrapText="1"/>
    </x:xf>
    <x:xf numFmtId="0" fontId="13" fillId="9" borderId="17" xfId="0" applyNumberFormat="1" applyFont="1" applyFill="1" applyBorder="1" applyAlignment="1">
      <x:alignment vertical="center" wrapText="1"/>
    </x:xf>
    <x:xf numFmtId="0" fontId="13" fillId="9" borderId="18" xfId="0" applyNumberFormat="1" applyFont="1" applyFill="1" applyBorder="1" applyAlignment="1">
      <x:alignment vertical="center" wrapText="1"/>
    </x:xf>
    <x:xf numFmtId="0" fontId="13" fillId="9" borderId="19" xfId="0" applyNumberFormat="1" applyFont="1" applyFill="1" applyBorder="1" applyAlignment="1">
      <x:alignment vertical="center" wrapText="1"/>
    </x:xf>
    <x:xf numFmtId="0" fontId="13" fillId="9" borderId="1" xfId="0" applyNumberFormat="1" applyFont="1" applyFill="1" applyBorder="1" applyAlignment="1">
      <x:alignment vertical="center" wrapText="1"/>
    </x:xf>
    <x:xf numFmtId="0" fontId="13" fillId="9" borderId="20" xfId="0" applyNumberFormat="1" applyFont="1" applyFill="1" applyBorder="1" applyAlignment="1">
      <x:alignment vertical="center" wrapText="1"/>
    </x:xf>
    <x:xf numFmtId="0" fontId="13" fillId="9" borderId="21" xfId="0" applyNumberFormat="1" applyFont="1" applyFill="1" applyBorder="1" applyAlignment="1">
      <x:alignment vertical="center" wrapText="1"/>
    </x:xf>
    <x:xf numFmtId="0" fontId="13" fillId="9" borderId="22" xfId="0" applyNumberFormat="1" applyFont="1" applyFill="1" applyBorder="1" applyAlignment="1">
      <x:alignment vertical="center" wrapText="1"/>
    </x:xf>
    <x:xf numFmtId="0" fontId="13" fillId="9" borderId="23" xfId="0" applyNumberFormat="1" applyFont="1" applyFill="1" applyBorder="1" applyAlignment="1">
      <x:alignment vertical="center" wrapText="1"/>
    </x:xf>
    <x:xf numFmtId="0" fontId="6" fillId="6" borderId="0"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1"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7" xfId="0" applyNumberFormat="1" applyFont="1" applyFill="1" applyBorder="1"/>
    <x:xf numFmtId="0" fontId="6" fillId="6" borderId="5" xfId="0" applyNumberFormat="1" applyFont="1" applyFill="1" applyBorder="1" applyAlignment="1">
      <x:alignment horizontal="center"/>
    </x:xf>
    <x:xf numFmtId="0" fontId="6" fillId="6" borderId="6" xfId="0" applyNumberFormat="1" applyFont="1" applyFill="1" applyBorder="1" applyAlignment="1">
      <x:alignment horizontal="center"/>
    </x:xf>
    <x:xf numFmtId="0" fontId="6" fillId="6" borderId="7" xfId="0" applyNumberFormat="1" applyFont="1" applyFill="1" applyBorder="1" applyAlignment="1">
      <x:alignment horizontal="center"/>
    </x:xf>
    <x:xf numFmtId="0" fontId="10" fillId="5" borderId="8" xfId="0" applyNumberFormat="1" applyFont="1" applyFill="1" applyBorder="1" applyAlignment="1">
      <x:alignment vertical="center" wrapText="1"/>
    </x:xf>
    <x:xf numFmtId="0" fontId="10" fillId="5" borderId="9" xfId="0" applyNumberFormat="1" applyFont="1" applyFill="1" applyBorder="1" applyAlignment="1">
      <x:alignment vertical="center" wrapText="1"/>
    </x:xf>
    <x:xf numFmtId="0" fontId="10" fillId="5" borderId="10" xfId="0" applyNumberFormat="1" applyFont="1" applyFill="1" applyBorder="1" applyAlignment="1">
      <x:alignment vertical="center" wrapText="1"/>
    </x:xf>
    <x:xf numFmtId="0" fontId="10" fillId="5" borderId="1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2" xfId="0" applyNumberFormat="1" applyFont="1" applyFill="1" applyBorder="1" applyAlignment="1">
      <x:alignment vertical="center" wrapText="1"/>
    </x:xf>
    <x:xf numFmtId="0" fontId="10" fillId="5" borderId="13"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0" fontId="10" fillId="5" borderId="15" xfId="0" applyNumberFormat="1" applyFont="1" applyFill="1" applyBorder="1" applyAlignment="1">
      <x:alignment vertical="center" wrapText="1"/>
    </x:xf>
    <x:xf numFmtId="0" fontId="10" fillId="5" borderId="16" xfId="0" applyNumberFormat="1" applyFont="1" applyFill="1" applyBorder="1" applyAlignment="1">
      <x:alignment vertical="center" wrapText="1"/>
    </x:xf>
    <x:xf numFmtId="0" fontId="10" fillId="5" borderId="17" xfId="0" applyNumberFormat="1" applyFont="1" applyFill="1" applyBorder="1" applyAlignment="1">
      <x:alignment vertical="center" wrapText="1"/>
    </x:xf>
    <x:xf numFmtId="0" fontId="10" fillId="5" borderId="18"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1" xfId="0" applyNumberFormat="1" applyFont="1" applyFill="1" applyBorder="1" applyAlignment="1">
      <x:alignment vertical="center" wrapText="1"/>
    </x:xf>
    <x:xf numFmtId="0" fontId="10" fillId="5" borderId="20" xfId="0" applyNumberFormat="1" applyFont="1" applyFill="1" applyBorder="1" applyAlignment="1">
      <x:alignment vertical="center" wrapText="1"/>
    </x:xf>
    <x:xf numFmtId="0" fontId="10" fillId="5" borderId="21" xfId="0" applyNumberFormat="1" applyFont="1" applyFill="1" applyBorder="1" applyAlignment="1">
      <x:alignment vertical="center" wrapText="1"/>
    </x:xf>
    <x:xf numFmtId="0" fontId="10" fillId="5" borderId="22" xfId="0" applyNumberFormat="1" applyFont="1" applyFill="1" applyBorder="1" applyAlignment="1">
      <x:alignment vertical="center" wrapText="1"/>
    </x:xf>
    <x:xf numFmtId="0" fontId="10" fillId="5" borderId="23" xfId="0" applyNumberFormat="1" applyFont="1" applyFill="1" applyBorder="1" applyAlignment="1">
      <x:alignment vertical="center" wrapText="1"/>
    </x:xf>
    <x:xf numFmtId="0" fontId="0" fillId="0" borderId="8"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9" fillId="3" borderId="8" xfId="0" applyNumberFormat="1" applyFont="1" applyFill="1" applyBorder="1" applyAlignment="1">
      <x:alignment vertical="top" wrapText="1"/>
    </x:xf>
    <x:xf numFmtId="0" fontId="9" fillId="3" borderId="11" xfId="0" applyNumberFormat="1" applyFont="1" applyFill="1" applyBorder="1" applyAlignment="1">
      <x:alignment vertical="top" wrapText="1"/>
    </x:xf>
    <x:xf numFmtId="0" fontId="9" fillId="3" borderId="13" xfId="0" applyNumberFormat="1" applyFont="1" applyFill="1" applyBorder="1" applyAlignment="1">
      <x:alignment vertical="top" wrapText="1"/>
    </x:xf>
    <x:xf numFmtId="0" fontId="9" fillId="3" borderId="24" xfId="0" applyNumberFormat="1" applyFont="1" applyFill="1" applyBorder="1" applyAlignment="1">
      <x:alignment vertical="top" wrapText="1"/>
    </x:xf>
    <x:xf numFmtId="0" fontId="9" fillId="3" borderId="25" xfId="0" applyNumberFormat="1" applyFont="1" applyFill="1" applyBorder="1" applyAlignment="1">
      <x:alignment vertical="top" wrapText="1"/>
    </x:xf>
    <x:xf numFmtId="0" fontId="9" fillId="3" borderId="26"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3" borderId="19" xfId="0" applyNumberFormat="1" applyFont="1" applyFill="1" applyBorder="1" applyAlignment="1">
      <x:alignment vertical="top" wrapText="1"/>
    </x:xf>
    <x:xf numFmtId="0" fontId="0" fillId="3" borderId="21" xfId="0" applyNumberFormat="1" applyFont="1" applyFill="1" applyBorder="1" applyAlignment="1">
      <x:alignment vertical="top" wrapText="1"/>
    </x:xf>
    <x:xf numFmtId="0" fontId="9" fillId="3" borderId="16" xfId="0" applyNumberFormat="1" applyFont="1" applyFill="1" applyBorder="1" applyAlignment="1">
      <x:alignment vertical="top" wrapText="1"/>
    </x:xf>
    <x:xf numFmtId="0" fontId="9" fillId="3" borderId="19" xfId="0" applyNumberFormat="1" applyFont="1" applyFill="1" applyBorder="1" applyAlignment="1">
      <x:alignment vertical="top" wrapText="1"/>
    </x:xf>
    <x:xf numFmtId="0" fontId="9" fillId="3" borderId="21" xfId="0" applyNumberFormat="1" applyFont="1" applyFill="1" applyBorder="1" applyAlignment="1">
      <x:alignment vertical="top" wrapText="1"/>
    </x:xf>
    <x:xf numFmtId="0" fontId="9" fillId="3" borderId="27" xfId="0" applyNumberFormat="1" applyFont="1" applyFill="1" applyBorder="1" applyAlignment="1">
      <x:alignment vertical="top" wrapText="1"/>
    </x:xf>
    <x:xf numFmtId="0" fontId="9" fillId="3" borderId="28" xfId="0" applyNumberFormat="1" applyFont="1" applyFill="1" applyBorder="1" applyAlignment="1">
      <x:alignment vertical="top" wrapText="1"/>
    </x:xf>
    <x:xf numFmtId="0" fontId="9" fillId="3" borderId="29" xfId="0" applyNumberFormat="1" applyFont="1" applyFill="1" applyBorder="1" applyAlignment="1">
      <x:alignment vertical="top" wrapText="1"/>
    </x:xf>
    <x:xf numFmtId="0" fontId="0" fillId="7" borderId="0" xfId="0" applyNumberFormat="1" applyFont="1" applyFill="1" applyBorder="1"/>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2" xfId="0" applyNumberFormat="1" applyFont="1" applyFill="1" applyBorder="1" applyAlignment="1">
      <x:alignment horizontal="center"/>
    </x:xf>
    <x:xf numFmtId="0" fontId="0" fillId="7" borderId="3" xfId="0" applyNumberFormat="1" applyFont="1" applyFill="1" applyBorder="1" applyAlignment="1">
      <x:alignment horizontal="center"/>
    </x:xf>
    <x:xf numFmtId="0" fontId="0" fillId="7" borderId="4" xfId="0" applyNumberFormat="1" applyFont="1" applyFill="1" applyBorder="1" applyAlignment="1">
      <x:alignment horizontal="center"/>
    </x:xf>
    <x:xf numFmtId="0" fontId="0" fillId="7" borderId="1"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5" xfId="0" applyNumberFormat="1" applyFont="1" applyFill="1" applyBorder="1" applyAlignment="1">
      <x:alignment horizontal="center"/>
    </x:xf>
    <x:xf numFmtId="0" fontId="0" fillId="7" borderId="6" xfId="0" applyNumberFormat="1" applyFont="1" applyFill="1" applyBorder="1" applyAlignment="1">
      <x:alignment horizontal="center"/>
    </x:xf>
    <x:xf numFmtId="0" fontId="0" fillId="7" borderId="7" xfId="0" applyNumberFormat="1" applyFont="1" applyFill="1" applyBorder="1" applyAlignment="1">
      <x:alignment horizontal="center"/>
    </x:xf>
    <x:xf numFmtId="203" fontId="0" fillId="7" borderId="3" xfId="0" applyNumberFormat="1" applyFont="1" applyFill="1" applyBorder="1" applyAlignment="1">
      <x:alignment horizontal="center"/>
    </x:xf>
    <x:xf numFmtId="203" fontId="0" fillId="7" borderId="6" xfId="0" applyNumberFormat="1" applyFont="1" applyFill="1" applyBorder="1" applyAlignment="1">
      <x:alignment horizontal="center"/>
    </x:xf>
    <x:xf numFmtId="203" fontId="0" fillId="7" borderId="4" xfId="0" applyNumberFormat="1" applyFont="1" applyFill="1" applyBorder="1" applyAlignment="1">
      <x:alignment horizontal="center"/>
    </x:xf>
    <x:xf numFmtId="203" fontId="0" fillId="7" borderId="7" xfId="0" applyNumberFormat="1" applyFont="1" applyFill="1" applyBorder="1" applyAlignment="1">
      <x:alignment horizontal="center"/>
    </x:xf>
    <x:xf numFmtId="0" fontId="10" fillId="3" borderId="0" xfId="0" applyNumberFormat="1" applyFont="1" applyFill="1" applyBorder="1"/>
    <x:xf numFmtId="0" fontId="10" fillId="3" borderId="8" xfId="0" applyNumberFormat="1" applyFont="1" applyFill="1" applyBorder="1"/>
    <x:xf numFmtId="0" fontId="10" fillId="3" borderId="9" xfId="0" applyNumberFormat="1" applyFont="1" applyFill="1" applyBorder="1"/>
    <x:xf numFmtId="0" fontId="10" fillId="3" borderId="10" xfId="0" applyNumberFormat="1" applyFont="1" applyFill="1" applyBorder="1"/>
    <x:xf numFmtId="0" fontId="10" fillId="3" borderId="11" xfId="0" applyNumberFormat="1" applyFont="1" applyFill="1" applyBorder="1"/>
    <x:xf numFmtId="0" fontId="10" fillId="3" borderId="12" xfId="0" applyNumberFormat="1" applyFont="1" applyFill="1" applyBorder="1"/>
    <x:xf numFmtId="0" fontId="10" fillId="3" borderId="13" xfId="0" applyNumberFormat="1" applyFont="1" applyFill="1" applyBorder="1"/>
    <x:xf numFmtId="0" fontId="10" fillId="3" borderId="14" xfId="0" applyNumberFormat="1" applyFont="1" applyFill="1" applyBorder="1"/>
    <x:xf numFmtId="0" fontId="10" fillId="3" borderId="15" xfId="0" applyNumberFormat="1" applyFont="1" applyFill="1" applyBorder="1"/>
    <x:xf numFmtId="0" fontId="10" fillId="3" borderId="8" xfId="0" applyNumberFormat="1" applyFont="1" applyFill="1" applyBorder="1" applyAlignment="1">
      <x:alignment wrapText="1"/>
    </x:xf>
    <x:xf numFmtId="0" fontId="10" fillId="3" borderId="9" xfId="0" applyNumberFormat="1" applyFont="1" applyFill="1" applyBorder="1" applyAlignment="1">
      <x:alignment wrapText="1"/>
    </x:xf>
    <x:xf numFmtId="0" fontId="10" fillId="3" borderId="10" xfId="0" applyNumberFormat="1" applyFont="1" applyFill="1" applyBorder="1" applyAlignment="1">
      <x:alignment wrapText="1"/>
    </x:xf>
    <x:xf numFmtId="0" fontId="10" fillId="3" borderId="11" xfId="0" applyNumberFormat="1" applyFont="1" applyFill="1" applyBorder="1" applyAlignment="1">
      <x:alignment wrapText="1"/>
    </x:xf>
    <x:xf numFmtId="0" fontId="10" fillId="3" borderId="0" xfId="0" applyNumberFormat="1" applyFont="1" applyFill="1" applyBorder="1" applyAlignment="1">
      <x:alignment wrapText="1"/>
    </x:xf>
    <x:xf numFmtId="0" fontId="10" fillId="3" borderId="12" xfId="0" applyNumberFormat="1" applyFont="1" applyFill="1" applyBorder="1" applyAlignment="1">
      <x:alignment wrapText="1"/>
    </x:xf>
    <x:xf numFmtId="0" fontId="10" fillId="3" borderId="13" xfId="0" applyNumberFormat="1" applyFont="1" applyFill="1" applyBorder="1" applyAlignment="1">
      <x:alignment wrapText="1"/>
    </x:xf>
    <x:xf numFmtId="0" fontId="10" fillId="3" borderId="14" xfId="0" applyNumberFormat="1" applyFont="1" applyFill="1" applyBorder="1" applyAlignment="1">
      <x:alignment wrapText="1"/>
    </x:xf>
    <x:xf numFmtId="0" fontId="10" fillId="3" borderId="15" xfId="0" applyNumberFormat="1" applyFont="1" applyFill="1" applyBorder="1" applyAlignment="1">
      <x:alignment wrapText="1"/>
    </x:xf>
    <x:xf numFmtId="0" fontId="10" fillId="3" borderId="8" xfId="0" applyNumberFormat="1" applyFont="1" applyFill="1" applyBorder="1" applyAlignment="1">
      <x:alignment vertical="center" wrapText="1"/>
    </x:xf>
    <x:xf numFmtId="0" fontId="10" fillId="3" borderId="9" xfId="0" applyNumberFormat="1" applyFont="1" applyFill="1" applyBorder="1" applyAlignment="1">
      <x:alignment vertical="center" wrapText="1"/>
    </x:xf>
    <x:xf numFmtId="0" fontId="10" fillId="3" borderId="10" xfId="0" applyNumberFormat="1" applyFont="1" applyFill="1" applyBorder="1" applyAlignment="1">
      <x:alignment vertical="center" wrapText="1"/>
    </x:xf>
    <x:xf numFmtId="0" fontId="10" fillId="3" borderId="11"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12" xfId="0" applyNumberFormat="1" applyFont="1" applyFill="1" applyBorder="1" applyAlignment="1">
      <x:alignment vertical="center" wrapText="1"/>
    </x:xf>
    <x:xf numFmtId="0" fontId="10" fillId="3" borderId="13" xfId="0" applyNumberFormat="1" applyFont="1" applyFill="1" applyBorder="1" applyAlignment="1">
      <x:alignment vertical="center" wrapText="1"/>
    </x:xf>
    <x:xf numFmtId="0" fontId="10" fillId="3" borderId="14" xfId="0" applyNumberFormat="1" applyFont="1" applyFill="1" applyBorder="1" applyAlignment="1">
      <x:alignment vertical="center" wrapText="1"/>
    </x:xf>
    <x:xf numFmtId="0" fontId="10" fillId="3" borderId="15" xfId="0" applyNumberFormat="1" applyFont="1" applyFill="1" applyBorder="1" applyAlignment="1">
      <x:alignment vertical="center" wrapText="1"/>
    </x:xf>
    <x:xf numFmtId="0" fontId="10" fillId="3" borderId="1" xfId="0" applyNumberFormat="1" applyFont="1" applyFill="1" applyBorder="1"/>
    <x:xf numFmtId="0" fontId="10" fillId="3" borderId="16" xfId="0" applyNumberFormat="1" applyFont="1" applyFill="1" applyBorder="1"/>
    <x:xf numFmtId="0" fontId="10" fillId="3" borderId="17" xfId="0" applyNumberFormat="1" applyFont="1" applyFill="1" applyBorder="1"/>
    <x:xf numFmtId="0" fontId="10" fillId="3" borderId="18" xfId="0" applyNumberFormat="1" applyFont="1" applyFill="1" applyBorder="1"/>
    <x:xf numFmtId="0" fontId="10" fillId="3" borderId="19" xfId="0" applyNumberFormat="1" applyFont="1" applyFill="1" applyBorder="1"/>
    <x:xf numFmtId="0" fontId="10" fillId="3" borderId="20" xfId="0" applyNumberFormat="1" applyFont="1" applyFill="1" applyBorder="1"/>
    <x:xf numFmtId="0" fontId="10" fillId="3" borderId="21" xfId="0" applyNumberFormat="1" applyFont="1" applyFill="1" applyBorder="1"/>
    <x:xf numFmtId="0" fontId="10" fillId="3" borderId="22" xfId="0" applyNumberFormat="1" applyFont="1" applyFill="1" applyBorder="1"/>
    <x:xf numFmtId="0" fontId="10" fillId="3" borderId="23" xfId="0" applyNumberFormat="1" applyFont="1" applyFill="1" applyBorder="1"/>
    <x:xf numFmtId="0" fontId="10" fillId="3" borderId="16" xfId="0" applyNumberFormat="1" applyFont="1" applyFill="1" applyBorder="1" applyAlignment="1">
      <x:alignment wrapText="1"/>
    </x:xf>
    <x:xf numFmtId="0" fontId="10" fillId="3" borderId="17" xfId="0" applyNumberFormat="1" applyFont="1" applyFill="1" applyBorder="1" applyAlignment="1">
      <x:alignment wrapText="1"/>
    </x:xf>
    <x:xf numFmtId="0" fontId="10" fillId="3" borderId="18" xfId="0" applyNumberFormat="1" applyFont="1" applyFill="1" applyBorder="1" applyAlignment="1">
      <x:alignment wrapText="1"/>
    </x:xf>
    <x:xf numFmtId="0" fontId="10" fillId="3" borderId="19" xfId="0" applyNumberFormat="1" applyFont="1" applyFill="1" applyBorder="1" applyAlignment="1">
      <x:alignment wrapText="1"/>
    </x:xf>
    <x:xf numFmtId="0" fontId="10" fillId="3" borderId="1" xfId="0" applyNumberFormat="1" applyFont="1" applyFill="1" applyBorder="1" applyAlignment="1">
      <x:alignment wrapText="1"/>
    </x:xf>
    <x:xf numFmtId="0" fontId="10" fillId="3" borderId="20" xfId="0" applyNumberFormat="1" applyFont="1" applyFill="1" applyBorder="1" applyAlignment="1">
      <x:alignment wrapText="1"/>
    </x:xf>
    <x:xf numFmtId="0" fontId="10" fillId="3" borderId="21" xfId="0" applyNumberFormat="1" applyFont="1" applyFill="1" applyBorder="1" applyAlignment="1">
      <x:alignment wrapText="1"/>
    </x:xf>
    <x:xf numFmtId="0" fontId="10" fillId="3" borderId="22" xfId="0" applyNumberFormat="1" applyFont="1" applyFill="1" applyBorder="1" applyAlignment="1">
      <x:alignment wrapText="1"/>
    </x:xf>
    <x:xf numFmtId="0" fontId="10" fillId="3" borderId="23" xfId="0" applyNumberFormat="1" applyFont="1" applyFill="1" applyBorder="1" applyAlignment="1">
      <x:alignment wrapText="1"/>
    </x:xf>
    <x:xf numFmtId="0" fontId="10" fillId="3" borderId="16" xfId="0" applyNumberFormat="1" applyFont="1" applyFill="1" applyBorder="1" applyAlignment="1">
      <x:alignment vertical="center" wrapText="1"/>
    </x:xf>
    <x:xf numFmtId="0" fontId="10" fillId="3" borderId="17" xfId="0" applyNumberFormat="1" applyFont="1" applyFill="1" applyBorder="1" applyAlignment="1">
      <x:alignment vertical="center" wrapText="1"/>
    </x:xf>
    <x:xf numFmtId="0" fontId="10" fillId="3" borderId="18" xfId="0" applyNumberFormat="1" applyFont="1" applyFill="1" applyBorder="1" applyAlignment="1">
      <x:alignment vertical="center" wrapText="1"/>
    </x:xf>
    <x:xf numFmtId="0" fontId="10" fillId="3" borderId="19" xfId="0" applyNumberFormat="1" applyFont="1" applyFill="1" applyBorder="1" applyAlignment="1">
      <x:alignment vertical="center" wrapText="1"/>
    </x:xf>
    <x:xf numFmtId="0" fontId="10" fillId="3" borderId="1" xfId="0" applyNumberFormat="1" applyFont="1" applyFill="1" applyBorder="1" applyAlignment="1">
      <x:alignment vertical="center" wrapText="1"/>
    </x:xf>
    <x:xf numFmtId="0" fontId="10" fillId="3" borderId="20" xfId="0" applyNumberFormat="1" applyFont="1" applyFill="1" applyBorder="1" applyAlignment="1">
      <x:alignment vertical="center" wrapText="1"/>
    </x:xf>
    <x:xf numFmtId="0" fontId="10" fillId="3" borderId="21" xfId="0" applyNumberFormat="1" applyFont="1" applyFill="1" applyBorder="1" applyAlignment="1">
      <x:alignment vertical="center" wrapText="1"/>
    </x:xf>
    <x:xf numFmtId="0" fontId="10" fillId="3" borderId="22" xfId="0" applyNumberFormat="1" applyFont="1" applyFill="1" applyBorder="1" applyAlignment="1">
      <x:alignment vertical="center" wrapText="1"/>
    </x:xf>
    <x:xf numFmtId="0" fontId="10" fillId="3" borderId="23" xfId="0" applyNumberFormat="1" applyFont="1" applyFill="1" applyBorder="1" applyAlignment="1">
      <x:alignment vertical="center" wrapText="1"/>
    </x:xf>
    <x:xf numFmtId="0" fontId="9" fillId="3" borderId="24" xfId="0" applyNumberFormat="1" applyFont="1" applyFill="1" applyBorder="1"/>
    <x:xf numFmtId="0" fontId="9" fillId="3" borderId="25" xfId="0" applyNumberFormat="1" applyFont="1" applyFill="1" applyBorder="1"/>
    <x:xf numFmtId="0" fontId="9" fillId="3" borderId="26" xfId="0" applyNumberFormat="1" applyFont="1" applyFill="1" applyBorder="1"/>
    <x:xf numFmtId="0" fontId="9" fillId="3" borderId="27" xfId="0" applyNumberFormat="1" applyFont="1" applyFill="1" applyBorder="1"/>
    <x:xf numFmtId="0" fontId="9" fillId="3" borderId="28" xfId="0" applyNumberFormat="1" applyFont="1" applyFill="1" applyBorder="1"/>
    <x:xf numFmtId="0" fontId="9" fillId="3" borderId="29"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cellXfs>
  <x:cellStyles count="1">
    <x:cellStyle name="Normal" xfId="0"/>
  </x:cellStyles>
  <x:dxfs count="2">
    <x:dxf>
      <x:font>
        <x:b/>
        <x:color rgb="FF24643C"/>
      </x:font>
      <x:fill>
        <x:patternFill patternType="solid">
          <x:bgColor rgb="FFDFF3E7"/>
        </x:patternFill>
      </x:fill>
    </x:dxf>
    <x:dxf>
      <x:font>
        <x:b/>
        <x:color rgb="FF9A365B"/>
      </x:font>
      <x:fill>
        <x:patternFill patternType="solid">
          <x:bgColor rgb="FFFBE4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fbf1e12b71427a" /><Relationship Type="http://schemas.openxmlformats.org/officeDocument/2006/relationships/theme" Target="/xl/theme/theme1.xml" Id="R563952f10b914338" /><Relationship Type="http://schemas.openxmlformats.org/officeDocument/2006/relationships/sharedStrings" Target="/xl/sharedStrings.xml" Id="R23b4b356404e4198" /><Relationship Type="http://schemas.openxmlformats.org/officeDocument/2006/relationships/worksheet" Target="/xl/worksheets/sheet1.xml" Id="R7784ebe346fe4f1c" /><Relationship Type="http://schemas.openxmlformats.org/officeDocument/2006/relationships/worksheet" Target="/xl/worksheets/sheet2.xml" Id="R4207c01011a64270" /><Relationship Type="http://schemas.openxmlformats.org/officeDocument/2006/relationships/worksheet" Target="/xl/worksheets/sheet3.xml" Id="R4559e1b0a62d44ed" /><Relationship Type="http://schemas.openxmlformats.org/officeDocument/2006/relationships/worksheet" Target="/xl/worksheets/sheet4.xml" Id="R6b30f3a65c6b41c9" /><Relationship Type="http://schemas.openxmlformats.org/officeDocument/2006/relationships/worksheet" Target="/xl/worksheets/sheet5.xml" Id="Re33cd27502f64a66" /><Relationship Type="http://schemas.openxmlformats.org/officeDocument/2006/relationships/worksheet" Target="/xl/worksheets/sheet6.xml" Id="Rae12a758c9944f68" /><Relationship Type="http://schemas.openxmlformats.org/officeDocument/2006/relationships/worksheet" Target="/xl/worksheets/sheet7.xml" Id="Ra8a15988443444d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83316992ae482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독립 검증 4개 이상 티켓</a:t>
            </a:r>
          </a:p>
        </c:rich>
      </c:tx>
      <c:overlay val="0"/>
    </c:title>
    <c:autoTitleDeleted val="0"/>
    <c:plotArea>
      <c:layout/>
      <c:barChart>
        <c:barDir val="col"/>
        <c:grouping val="clustered"/>
        <c:varyColors val="0"/>
        <c:ser>
          <c:idx val="0"/>
          <c:order val="0"/>
          <c:tx>
            <c:v>4개+ 관측</c:v>
          </c:tx>
          <c:cat>
            <c:strRef>
              <c:f>'요약'!$A$34:$A$37</c:f>
              <c:strCache>
                <c:ptCount val="0"/>
              </c:strCache>
            </c:strRef>
          </c:cat>
          <c:val>
            <c:numRef>
              <c:f>'요약'!$B$34:$B$37</c:f>
              <c:numCache>
                <c:formatCode>General</c:formatCode>
                <c:ptCount val="0"/>
              </c:numCache>
            </c:numRef>
          </c:val>
        </c:ser>
        <c:ser>
          <c:idx val="1"/>
          <c:order val="1"/>
          <c:tx>
            <c:v>구조기준 기대</c:v>
          </c:tx>
          <c:cat>
            <c:strRef>
              <c:f>'요약'!$A$34:$A$37</c:f>
              <c:strCache>
                <c:ptCount val="0"/>
              </c:strCache>
            </c:strRef>
          </c:cat>
          <c:val>
            <c:numRef>
              <c:f>'요약'!$C$34:$C$37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32</xdr:row>
      <xdr:rowOff>0</xdr:rowOff>
    </xdr:from>
    <xdr:to>
      <xdr:col>12</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83316992ae482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ab25230144342d1"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s>
  <x:sheetData>
    <x:row r="1" ht="34" customHeight="1">
      <x:c r="A1" s="5" t="str">
        <x:v>새 기준 6차 · 원형 역방향 대각선 활성블록 게이트 v0.1</x:v>
      </x:c>
      <x:c r="B1" s="5"/>
      <x:c r="C1" s="343"/>
      <x:c r="D1" s="343"/>
      <x:c r="E1" s="343"/>
      <x:c r="F1" s="343"/>
      <x:c r="G1" s="343"/>
      <x:c r="H1" s="343"/>
      <x:c r="I1" s="343"/>
      <x:c r="J1" s="343"/>
      <x:c r="K1" s="343"/>
      <x:c r="L1" s="343"/>
    </x:row>
    <x:row r="2" ht="52" customHeight="1">
      <x:c r="A2" s="15" t="str">
        <x:v>35개 후보 중 특정 세트를 고르지 않고, 45회 입력 블록 자체가 앞으로 20회 동안 활성화될 가능성을 먼저 판정했습니다. 블록 1~16으로 모델과 문턱을 고정한 뒤 블록 17~26을 독립 검증했습니다. 출전·관찰·보류의 그림자 성적을 모두 남겨 사후 제외를 막았습니다.</x:v>
      </x:c>
      <x:c r="B2" s="16"/>
      <x:c r="C2" s="16"/>
      <x:c r="D2" s="16"/>
      <x:c r="E2" s="16"/>
      <x:c r="F2" s="16"/>
      <x:c r="G2" s="16"/>
      <x:c r="H2" s="16"/>
      <x:c r="I2" s="16"/>
      <x:c r="J2" s="16"/>
      <x:c r="K2" s="16"/>
      <x:c r="L2" s="17"/>
    </x:row>
    <x:row r="4">
      <x:c r="A4" s="34" t="str">
        <x:v>독립 출전 블록</x:v>
      </x:c>
      <x:c r="B4" s="35"/>
      <x:c r="C4" s="36"/>
      <x:c r="D4" s="34" t="str">
        <x:v>출전 4개+ 티켓</x:v>
      </x:c>
      <x:c r="E4" s="35"/>
      <x:c r="F4" s="36"/>
      <x:c r="G4" s="34" t="str">
        <x:v>출전 관측/기대</x:v>
      </x:c>
      <x:c r="H4" s="35"/>
      <x:c r="I4" s="36"/>
      <x:c r="J4" s="34" t="str">
        <x:v>출전 상단확률</x:v>
      </x:c>
      <x:c r="K4" s="35"/>
      <x:c r="L4" s="36"/>
    </x:row>
    <x:row r="5">
      <x:c r="A5" s="56" t="str">
        <x:v>2/10</x:v>
      </x:c>
      <x:c r="B5" s="57"/>
      <x:c r="C5" s="58"/>
      <x:c r="D5" s="56" t="n">
        <x:v>9</x:v>
      </x:c>
      <x:c r="E5" s="57"/>
      <x:c r="F5" s="58"/>
      <x:c r="G5" s="56" t="str">
        <x:v>4.30배</x:v>
      </x:c>
      <x:c r="H5" s="57"/>
      <x:c r="I5" s="58"/>
      <x:c r="J5" s="56" t="str">
        <x:v>0.035%</x:v>
      </x:c>
      <x:c r="K5" s="57"/>
      <x:c r="L5" s="58"/>
    </x:row>
    <x:row r="6">
      <x:c r="A6" s="74" t="str">
        <x:v>블록 23, 24</x:v>
      </x:c>
      <x:c r="B6" s="75"/>
      <x:c r="C6" s="76"/>
      <x:c r="D6" s="74" t="str">
        <x:v>기대 2.09</x:v>
      </x:c>
      <x:c r="E6" s="75"/>
      <x:c r="F6" s="76"/>
      <x:c r="G6" s="74" t="str">
        <x:v>4개 이상 티켓</x:v>
      </x:c>
      <x:c r="H6" s="75"/>
      <x:c r="I6" s="76"/>
      <x:c r="J6" s="74" t="str">
        <x:v>구조 동일 무작위</x:v>
      </x:c>
      <x:c r="K6" s="75"/>
      <x:c r="L6" s="76"/>
    </x:row>
    <x:row r="7">
      <x:c r="A7" s="34" t="str">
        <x:v>출전 3개+ 건강</x:v>
      </x:c>
      <x:c r="B7" s="35"/>
      <x:c r="C7" s="36"/>
      <x:c r="D7" s="34" t="str">
        <x:v>보류 4개+ 성과</x:v>
      </x:c>
      <x:c r="E7" s="35"/>
      <x:c r="F7" s="36"/>
      <x:c r="G7" s="34" t="str">
        <x:v>출전 작업량 비중</x:v>
      </x:c>
      <x:c r="H7" s="35"/>
      <x:c r="I7" s="36"/>
      <x:c r="J7" s="34" t="str">
        <x:v>현재 판정</x:v>
      </x:c>
      <x:c r="K7" s="35"/>
      <x:c r="L7" s="36"/>
    </x:row>
    <x:row r="8">
      <x:c r="A8" s="56" t="str">
        <x:v>1.31배</x:v>
      </x:c>
      <x:c r="B8" s="57"/>
      <x:c r="C8" s="58"/>
      <x:c r="D8" s="56" t="str">
        <x:v>0.76배</x:v>
      </x:c>
      <x:c r="E8" s="57"/>
      <x:c r="F8" s="58"/>
      <x:c r="G8" s="56" t="str">
        <x:v>20.8%</x:v>
      </x:c>
      <x:c r="H8" s="57"/>
      <x:c r="I8" s="58"/>
      <x:c r="J8" s="91" t="str">
        <x:v>조건부 보존 · 선택적 출전 게이트 v0.1</x:v>
      </x:c>
      <x:c r="K8" s="92"/>
      <x:c r="L8" s="93"/>
    </x:row>
    <x:row r="9">
      <x:c r="A9" s="74" t="str">
        <x:v>47 / 35.8</x:v>
      </x:c>
      <x:c r="B9" s="75"/>
      <x:c r="C9" s="76"/>
      <x:c r="D9" s="74" t="str">
        <x:v>4 / 5.28</x:v>
      </x:c>
      <x:c r="E9" s="75"/>
      <x:c r="F9" s="76"/>
      <x:c r="G9" s="74" t="str">
        <x:v>4개+ 성과 50.0% 회수</x:v>
      </x:c>
      <x:c r="H9" s="75"/>
      <x:c r="I9" s="76"/>
      <x:c r="J9" s="74" t="str">
        <x:v>6차 후보</x:v>
      </x:c>
      <x:c r="K9" s="75"/>
      <x:c r="L9" s="76"/>
    </x:row>
    <x:row r="11">
      <x:c r="A11" s="34" t="str">
        <x:v>독립 검증 17~26블록</x:v>
      </x:c>
      <x:c r="B11" s="35"/>
      <x:c r="C11" s="35"/>
      <x:c r="D11" s="35"/>
      <x:c r="E11" s="35"/>
      <x:c r="F11" s="35"/>
      <x:c r="G11" s="35"/>
      <x:c r="H11" s="35"/>
      <x:c r="I11" s="35"/>
      <x:c r="J11" s="35"/>
      <x:c r="K11" s="35"/>
      <x:c r="L11" s="36"/>
    </x:row>
    <x:row r="12">
      <x:c r="A12" s="111" t="str">
        <x:v>판정</x:v>
      </x:c>
      <x:c r="B12" s="112" t="str">
        <x:v>블록</x:v>
      </x:c>
      <x:c r="C12" s="112" t="str">
        <x:v>블록 수</x:v>
      </x:c>
      <x:c r="D12" s="112" t="str">
        <x:v>세트 합계</x:v>
      </x:c>
      <x:c r="E12" s="112" t="str">
        <x:v>작업량 비중</x:v>
      </x:c>
      <x:c r="F12" s="112" t="str">
        <x:v>3개+ 관측</x:v>
      </x:c>
      <x:c r="G12" s="112" t="str">
        <x:v>3개+ 기대</x:v>
      </x:c>
      <x:c r="H12" s="112" t="str">
        <x:v>4개+ 관측</x:v>
      </x:c>
      <x:c r="I12" s="112" t="str">
        <x:v>4개+ 기대</x:v>
      </x:c>
      <x:c r="J12" s="112" t="str">
        <x:v>관측/기대</x:v>
      </x:c>
      <x:c r="K12" s="113" t="str">
        <x:v>상단확률</x:v>
      </x:c>
    </x:row>
    <x:row r="13">
      <x:c r="A13" s="187" t="str">
        <x:v>출전</x:v>
      </x:c>
      <x:c r="B13" s="188" t="str">
        <x:v>23, 24</x:v>
      </x:c>
      <x:c r="C13" s="188" t="n">
        <x:v>2</x:v>
      </x:c>
      <x:c r="D13" s="188" t="n">
        <x:v>75</x:v>
      </x:c>
      <x:c r="E13" s="189" t="n">
        <x:v>0.2077562326869806</x:v>
      </x:c>
      <x:c r="F13" s="188" t="n">
        <x:v>47</x:v>
      </x:c>
      <x:c r="G13" s="188" t="n">
        <x:v>35.751</x:v>
      </x:c>
      <x:c r="H13" s="188" t="n">
        <x:v>9</x:v>
      </x:c>
      <x:c r="I13" s="188" t="n">
        <x:v>2.091</x:v>
      </x:c>
      <x:c r="J13" s="190" t="n">
        <x:v>4.303886249880453</x:v>
      </x:c>
      <x:c r="K13" s="191" t="n">
        <x:v>0.0003549290049266861</x:v>
      </x:c>
    </x:row>
    <x:row r="14">
      <x:c r="A14" s="136" t="str">
        <x:v>관찰</x:v>
      </x:c>
      <x:c r="B14" s="137" t="str">
        <x:v>17, 18, 19</x:v>
      </x:c>
      <x:c r="C14" s="137" t="n">
        <x:v>3</x:v>
      </x:c>
      <x:c r="D14" s="137" t="n">
        <x:v>97</x:v>
      </x:c>
      <x:c r="E14" s="160" t="n">
        <x:v>0.26869806094182824</x:v>
      </x:c>
      <x:c r="F14" s="137" t="n">
        <x:v>45</x:v>
      </x:c>
      <x:c r="G14" s="137" t="n">
        <x:v>46.238</x:v>
      </x:c>
      <x:c r="H14" s="137" t="n">
        <x:v>5</x:v>
      </x:c>
      <x:c r="I14" s="137" t="n">
        <x:v>2.704</x:v>
      </x:c>
      <x:c r="J14" s="166" t="n">
        <x:v>1.8492492048228433</x:v>
      </x:c>
      <x:c r="K14" s="172" t="n">
        <x:v>0.1380399401991013</x:v>
      </x:c>
    </x:row>
    <x:row r="15">
      <x:c r="A15" s="217" t="str">
        <x:v>보류</x:v>
      </x:c>
      <x:c r="B15" s="218" t="str">
        <x:v>20, 21, 22, 25, 26</x:v>
      </x:c>
      <x:c r="C15" s="218" t="n">
        <x:v>5</x:v>
      </x:c>
      <x:c r="D15" s="218" t="n">
        <x:v>189</x:v>
      </x:c>
      <x:c r="E15" s="219" t="n">
        <x:v>0.5235457063711911</x:v>
      </x:c>
      <x:c r="F15" s="218" t="n">
        <x:v>86</x:v>
      </x:c>
      <x:c r="G15" s="218" t="n">
        <x:v>90.093</x:v>
      </x:c>
      <x:c r="H15" s="218" t="n">
        <x:v>4</x:v>
      </x:c>
      <x:c r="I15" s="218" t="n">
        <x:v>5.278</x:v>
      </x:c>
      <x:c r="J15" s="220" t="n">
        <x:v>0.7579011191673191</x:v>
      </x:c>
      <x:c r="K15" s="221" t="n">
        <x:v>0.7732641544057295</x:v>
      </x:c>
    </x:row>
    <x:row r="18">
      <x:c r="A18" s="34" t="str">
        <x:v>핵심 판정 멘트</x:v>
      </x:c>
      <x:c r="B18" s="35"/>
      <x:c r="C18" s="35"/>
      <x:c r="D18" s="35"/>
      <x:c r="E18" s="35"/>
      <x:c r="F18" s="35"/>
      <x:c r="G18" s="35"/>
      <x:c r="H18" s="35"/>
      <x:c r="I18" s="35"/>
      <x:c r="J18" s="35"/>
      <x:c r="K18" s="35"/>
      <x:c r="L18" s="36"/>
    </x:row>
    <x:row r="19">
      <x:c r="A19" s="256" t="str">
        <x:v>개발 블록 1~16에서 고정한 게이트를 독립 블록 17~26에 적용한 결과, '출전'으로 판정된 블록은 2개뿐이었지만 4개 이상 적중 티켓 9장을 만들었습니다. 구조 동일 무작위 기대 2.09장의 4.30배이며, 상단확률은 0.035%였습니다. 반면 '보류' 블록은 무작위 기대 이하였습니다. 다만 독립 출전 표본이 2블록에 불과하므로 정식 채택은 보류하고, 원형 역방향 대각선 후보 생성기를 켜고 끄는 선택적 게이트로 조건부 보존합니다.</x:v>
      </x:c>
      <x:c r="B19" s="257"/>
      <x:c r="C19" s="257"/>
      <x:c r="D19" s="257"/>
      <x:c r="E19" s="257"/>
      <x:c r="F19" s="257"/>
      <x:c r="G19" s="257"/>
      <x:c r="H19" s="257"/>
      <x:c r="I19" s="257"/>
      <x:c r="J19" s="257"/>
      <x:c r="K19" s="257"/>
      <x:c r="L19" s="258"/>
    </x:row>
    <x:row r="20">
      <x:c r="A20" s="259"/>
      <x:c r="B20" s="260"/>
      <x:c r="C20" s="260"/>
      <x:c r="D20" s="260"/>
      <x:c r="E20" s="260"/>
      <x:c r="F20" s="260"/>
      <x:c r="G20" s="260"/>
      <x:c r="H20" s="260"/>
      <x:c r="I20" s="260"/>
      <x:c r="J20" s="260"/>
      <x:c r="K20" s="260"/>
      <x:c r="L20" s="261"/>
    </x:row>
    <x:row r="21">
      <x:c r="A21" s="259"/>
      <x:c r="B21" s="260"/>
      <x:c r="C21" s="260"/>
      <x:c r="D21" s="260"/>
      <x:c r="E21" s="260"/>
      <x:c r="F21" s="260"/>
      <x:c r="G21" s="260"/>
      <x:c r="H21" s="260"/>
      <x:c r="I21" s="260"/>
      <x:c r="J21" s="260"/>
      <x:c r="K21" s="260"/>
      <x:c r="L21" s="261"/>
    </x:row>
    <x:row r="22">
      <x:c r="A22" s="259"/>
      <x:c r="B22" s="260"/>
      <x:c r="C22" s="260"/>
      <x:c r="D22" s="260"/>
      <x:c r="E22" s="260"/>
      <x:c r="F22" s="260"/>
      <x:c r="G22" s="260"/>
      <x:c r="H22" s="260"/>
      <x:c r="I22" s="260"/>
      <x:c r="J22" s="260"/>
      <x:c r="K22" s="260"/>
      <x:c r="L22" s="261"/>
    </x:row>
    <x:row r="23">
      <x:c r="A23" s="262"/>
      <x:c r="B23" s="263"/>
      <x:c r="C23" s="263"/>
      <x:c r="D23" s="263"/>
      <x:c r="E23" s="263"/>
      <x:c r="F23" s="263"/>
      <x:c r="G23" s="263"/>
      <x:c r="H23" s="263"/>
      <x:c r="I23" s="263"/>
      <x:c r="J23" s="263"/>
      <x:c r="K23" s="263"/>
      <x:c r="L23" s="264"/>
    </x:row>
    <x:row r="26">
      <x:c r="A26" s="34" t="str">
        <x:v>게이트가 실제로 줄인 것</x:v>
      </x:c>
      <x:c r="B26" s="35"/>
      <x:c r="C26" s="35"/>
      <x:c r="D26" s="35"/>
      <x:c r="E26" s="35"/>
      <x:c r="F26" s="35"/>
      <x:c r="G26" s="35"/>
      <x:c r="H26" s="35"/>
      <x:c r="I26" s="35"/>
      <x:c r="J26" s="35"/>
      <x:c r="K26" s="35"/>
      <x:c r="L26" s="36"/>
    </x:row>
    <x:row r="27">
      <x:c r="A27" s="294" t="str">
        <x:v>출전만 사용</x:v>
      </x:c>
      <x:c r="B27" s="295"/>
      <x:c r="C27" s="316" t="str">
        <x:v>독립 구간 전체 후보 작업량의 20.8%만 사용하면서 4개 이상 티켓의 50.0%를 회수했습니다.</x:v>
      </x:c>
      <x:c r="D27" s="317"/>
      <x:c r="E27" s="317"/>
      <x:c r="F27" s="317"/>
      <x:c r="G27" s="317"/>
      <x:c r="H27" s="317"/>
      <x:c r="I27" s="317"/>
      <x:c r="J27" s="317"/>
      <x:c r="K27" s="317"/>
      <x:c r="L27" s="318"/>
    </x:row>
    <x:row r="28">
      <x:c r="A28" s="296" t="str">
        <x:v>출전+관찰</x:v>
      </x:c>
      <x:c r="B28" s="297"/>
      <x:c r="C28" s="319" t="str">
        <x:v>작업량 47.6%로 4개 이상 티켓의 77.8%를 회수했습니다.</x:v>
      </x:c>
      <x:c r="D28" s="320"/>
      <x:c r="E28" s="320"/>
      <x:c r="F28" s="320"/>
      <x:c r="G28" s="320"/>
      <x:c r="H28" s="320"/>
      <x:c r="I28" s="320"/>
      <x:c r="J28" s="320"/>
      <x:c r="K28" s="320"/>
      <x:c r="L28" s="321"/>
    </x:row>
    <x:row r="29">
      <x:c r="A29" s="296" t="str">
        <x:v>보류 구간</x:v>
      </x:c>
      <x:c r="B29" s="297"/>
      <x:c r="C29" s="319" t="str">
        <x:v>전체 작업량의 52.4%를 제외했고, 이 구간의 4개 이상 성적은 무작위 기대의 0.76배였습니다.</x:v>
      </x:c>
      <x:c r="D29" s="320"/>
      <x:c r="E29" s="320"/>
      <x:c r="F29" s="320"/>
      <x:c r="G29" s="320"/>
      <x:c r="H29" s="320"/>
      <x:c r="I29" s="320"/>
      <x:c r="J29" s="320"/>
      <x:c r="K29" s="320"/>
      <x:c r="L29" s="321"/>
    </x:row>
    <x:row r="30">
      <x:c r="A30" s="298" t="str">
        <x:v>남은 문제</x:v>
      </x:c>
      <x:c r="B30" s="299"/>
      <x:c r="C30" s="322" t="str">
        <x:v>출전 블록 안에서는 여전히 약 35세트를 사용합니다. 이번 실험은 블록 선별 성공 여부만 검증한 것입니다.</x:v>
      </x:c>
      <x:c r="D30" s="323"/>
      <x:c r="E30" s="323"/>
      <x:c r="F30" s="323"/>
      <x:c r="G30" s="323"/>
      <x:c r="H30" s="323"/>
      <x:c r="I30" s="323"/>
      <x:c r="J30" s="323"/>
      <x:c r="K30" s="323"/>
      <x:c r="L30" s="324"/>
    </x:row>
    <x:row r="33">
      <x:c r="A33" t="str">
        <x:v>독립 판정</x:v>
      </x:c>
      <x:c r="B33" t="str">
        <x:v>4개+ 관측</x:v>
      </x:c>
      <x:c r="C33" t="str">
        <x:v>구조기준 기대</x:v>
      </x:c>
    </x:row>
    <x:row r="34">
      <x:c r="A34" t="str">
        <x:v>출전</x:v>
      </x:c>
      <x:c r="B34" t="n">
        <x:v>9</x:v>
      </x:c>
      <x:c r="C34" t="n">
        <x:v>2.091133333333331</x:v>
      </x:c>
    </x:row>
    <x:row r="35">
      <x:c r="A35" t="str">
        <x:v>관찰</x:v>
      </x:c>
      <x:c r="B35" t="n">
        <x:v>5</x:v>
      </x:c>
      <x:c r="C35" t="n">
        <x:v>2.703799999999998</x:v>
      </x:c>
    </x:row>
    <x:row r="36">
      <x:c r="A36" t="str">
        <x:v>보류</x:v>
      </x:c>
      <x:c r="B36" t="n">
        <x:v>4</x:v>
      </x:c>
      <x:c r="C36" t="n">
        <x:v>5.277733333333335</x:v>
      </x:c>
    </x:row>
    <x:row r="37">
      <x:c r="A37" t="str">
        <x:v>전체</x:v>
      </x:c>
      <x:c r="B37" t="n">
        <x:v>18</x:v>
      </x:c>
      <x:c r="C37" t="n">
        <x:v>10.060944916305097</x:v>
      </x:c>
    </x:row>
  </x:sheetData>
  <x:mergeCells>
    <x:mergeCell ref="A1:L1"/>
    <x:mergeCell ref="A2:L2"/>
    <x:mergeCell ref="A4:C4"/>
    <x:mergeCell ref="A5:C5"/>
    <x:mergeCell ref="A6:C6"/>
    <x:mergeCell ref="D4:F4"/>
    <x:mergeCell ref="D5:F5"/>
    <x:mergeCell ref="D6:F6"/>
    <x:mergeCell ref="G4:I4"/>
    <x:mergeCell ref="G5:I5"/>
    <x:mergeCell ref="G6:I6"/>
    <x:mergeCell ref="J4:L4"/>
    <x:mergeCell ref="J5:L5"/>
    <x:mergeCell ref="J6:L6"/>
    <x:mergeCell ref="A7:C7"/>
    <x:mergeCell ref="A8:C8"/>
    <x:mergeCell ref="A9:C9"/>
    <x:mergeCell ref="D7:F7"/>
    <x:mergeCell ref="D8:F8"/>
    <x:mergeCell ref="D9:F9"/>
    <x:mergeCell ref="G7:I7"/>
    <x:mergeCell ref="G8:I8"/>
    <x:mergeCell ref="G9:I9"/>
    <x:mergeCell ref="J7:L7"/>
    <x:mergeCell ref="J8:L8"/>
    <x:mergeCell ref="J9:L9"/>
    <x:mergeCell ref="A11:L11"/>
    <x:mergeCell ref="A18:L18"/>
    <x:mergeCell ref="A19:L23"/>
    <x:mergeCell ref="A26:L26"/>
  </x:mergeCells>
  <x:pageMargins left="0.7" right="0.7" top="0.75" bottom="0.75" header="0.3" footer="0.3"/>
  <x:drawing xmlns:r="http://schemas.openxmlformats.org/officeDocument/2006/relationships" r:id="Rbab25230144342d1"/>
</x:worksheet>
</file>

<file path=xl/worksheets/sheet2.xml><?xml version="1.0" encoding="utf-8"?>
<x:worksheet xmlns:x="http://schemas.openxmlformats.org/spreadsheetml/2006/main">
  <x:sheetFormatPr defaultRowHeight="15"/>
  <x:cols>
    <x:col min="1" max="1" width="9.25" hidden="0" customWidth="1"/>
    <x:col min="2" max="2" width="4.25" hidden="0" customWidth="1"/>
    <x:col min="3" max="3" width="20" hidden="0" customWidth="1"/>
    <x:col min="4" max="4" width="6.5" hidden="0" customWidth="1"/>
    <x:col min="5" max="5" width="8.25" hidden="0" customWidth="1"/>
    <x:col min="6" max="6" width="8.380000114440918" hidden="0" customWidth="1"/>
    <x:col min="7" max="7" width="8.380000114440918" hidden="0" customWidth="1"/>
    <x:col min="8" max="8" width="8.380000114440918" hidden="0" customWidth="1"/>
    <x:col min="9" max="9" width="8.380000114440918" hidden="0" customWidth="1"/>
    <x:col min="10" max="10" width="8.380000114440918" hidden="0" customWidth="1"/>
    <x:col min="11" max="11" width="8.380000114440918" hidden="0" customWidth="1"/>
    <x:col min="12" max="12" width="7.880000114440918" hidden="0" customWidth="1"/>
  </x:cols>
  <x:sheetData>
    <x:row r="1">
      <x:c r="A1" s="111" t="str">
        <x:v>구간</x:v>
      </x:c>
      <x:c r="B1" s="112" t="str">
        <x:v>판정</x:v>
      </x:c>
      <x:c r="C1" s="112" t="str">
        <x:v>블록</x:v>
      </x:c>
      <x:c r="D1" s="112" t="str">
        <x:v>블록 수</x:v>
      </x:c>
      <x:c r="E1" s="112" t="str">
        <x:v>세트 합계</x:v>
      </x:c>
      <x:c r="F1" s="112" t="str">
        <x:v>3개+ 관측</x:v>
      </x:c>
      <x:c r="G1" s="112" t="str">
        <x:v>3개+ 기대</x:v>
      </x:c>
      <x:c r="H1" s="112" t="str">
        <x:v>3개+ 배수</x:v>
      </x:c>
      <x:c r="I1" s="112" t="str">
        <x:v>4개+ 관측</x:v>
      </x:c>
      <x:c r="J1" s="112" t="str">
        <x:v>4개+ 기대</x:v>
      </x:c>
      <x:c r="K1" s="112" t="str">
        <x:v>4개+ 배수</x:v>
      </x:c>
      <x:c r="L1" s="113" t="str">
        <x:v>상단확률</x:v>
      </x:c>
    </x:row>
    <x:row r="2">
      <x:c r="A2" s="187" t="str">
        <x:v>개발 1~16</x:v>
      </x:c>
      <x:c r="B2" s="188" t="str">
        <x:v>출전</x:v>
      </x:c>
      <x:c r="C2" s="188" t="str">
        <x:v>4, 5, 6, 7, 10</x:v>
      </x:c>
      <x:c r="D2" s="188" t="n">
        <x:v>5</x:v>
      </x:c>
      <x:c r="E2" s="188" t="n">
        <x:v>175</x:v>
      </x:c>
      <x:c r="F2" s="188" t="n">
        <x:v>87</x:v>
      </x:c>
      <x:c r="G2" s="188" t="n">
        <x:v>83.419</x:v>
      </x:c>
      <x:c r="H2" s="353" t="n">
        <x:v>1.0429244320815947</x:v>
      </x:c>
      <x:c r="I2" s="188" t="n">
        <x:v>15</x:v>
      </x:c>
      <x:c r="J2" s="188" t="n">
        <x:v>4.848</x:v>
      </x:c>
      <x:c r="K2" s="353" t="n">
        <x:v>3.094314712435016</x:v>
      </x:c>
      <x:c r="L2" s="191" t="n">
        <x:v>0.00016272196398677604</x:v>
      </x:c>
    </x:row>
    <x:row r="3">
      <x:c r="A3" s="136" t="str">
        <x:v>개발 1~16</x:v>
      </x:c>
      <x:c r="B3" s="137" t="str">
        <x:v>관찰</x:v>
      </x:c>
      <x:c r="C3" s="137" t="str">
        <x:v>2, 3, 9, 11, 12, 16</x:v>
      </x:c>
      <x:c r="D3" s="137" t="n">
        <x:v>6</x:v>
      </x:c>
      <x:c r="E3" s="137" t="n">
        <x:v>200</x:v>
      </x:c>
      <x:c r="F3" s="137" t="n">
        <x:v>100</x:v>
      </x:c>
      <x:c r="G3" s="137" t="n">
        <x:v>95.336</x:v>
      </x:c>
      <x:c r="H3" s="346" t="n">
        <x:v>1.0489182506567765</x:v>
      </x:c>
      <x:c r="I3" s="137" t="n">
        <x:v>6</x:v>
      </x:c>
      <x:c r="J3" s="137" t="n">
        <x:v>5.572</x:v>
      </x:c>
      <x:c r="K3" s="346" t="n">
        <x:v>1.0767482203744712</x:v>
      </x:c>
      <x:c r="L3" s="172" t="n">
        <x:v>0.48352001037483616</x:v>
      </x:c>
    </x:row>
    <x:row r="4">
      <x:c r="A4" s="136" t="str">
        <x:v>개발 1~16</x:v>
      </x:c>
      <x:c r="B4" s="137" t="str">
        <x:v>보류</x:v>
      </x:c>
      <x:c r="C4" s="137" t="str">
        <x:v>1, 8, 13, 14, 15</x:v>
      </x:c>
      <x:c r="D4" s="137" t="n">
        <x:v>5</x:v>
      </x:c>
      <x:c r="E4" s="137" t="n">
        <x:v>167</x:v>
      </x:c>
      <x:c r="F4" s="137" t="n">
        <x:v>75</x:v>
      </x:c>
      <x:c r="G4" s="137" t="n">
        <x:v>79.606</x:v>
      </x:c>
      <x:c r="H4" s="346" t="n">
        <x:v>0.9421421413084818</x:v>
      </x:c>
      <x:c r="I4" s="137" t="n">
        <x:v>1</x:v>
      </x:c>
      <x:c r="J4" s="137" t="n">
        <x:v>4.66</x:v>
      </x:c>
      <x:c r="K4" s="346" t="n">
        <x:v>0.21457999542229286</x:v>
      </x:c>
      <x:c r="L4" s="172" t="n">
        <x:v>0.9905250584807819</x:v>
      </x:c>
    </x:row>
    <x:row r="5">
      <x:c r="A5" s="187" t="str">
        <x:v>독립 17~26</x:v>
      </x:c>
      <x:c r="B5" s="188" t="str">
        <x:v>출전</x:v>
      </x:c>
      <x:c r="C5" s="188" t="str">
        <x:v>23, 24</x:v>
      </x:c>
      <x:c r="D5" s="188" t="n">
        <x:v>2</x:v>
      </x:c>
      <x:c r="E5" s="188" t="n">
        <x:v>75</x:v>
      </x:c>
      <x:c r="F5" s="188" t="n">
        <x:v>47</x:v>
      </x:c>
      <x:c r="G5" s="188" t="n">
        <x:v>35.751</x:v>
      </x:c>
      <x:c r="H5" s="353" t="n">
        <x:v>1.3146442074898266</x:v>
      </x:c>
      <x:c r="I5" s="188" t="n">
        <x:v>9</x:v>
      </x:c>
      <x:c r="J5" s="188" t="n">
        <x:v>2.091</x:v>
      </x:c>
      <x:c r="K5" s="353" t="n">
        <x:v>4.303886249880453</x:v>
      </x:c>
      <x:c r="L5" s="191" t="n">
        <x:v>0.0003549290049266861</x:v>
      </x:c>
    </x:row>
    <x:row r="6">
      <x:c r="A6" s="136" t="str">
        <x:v>독립 17~26</x:v>
      </x:c>
      <x:c r="B6" s="137" t="str">
        <x:v>관찰</x:v>
      </x:c>
      <x:c r="C6" s="137" t="str">
        <x:v>17, 18, 19</x:v>
      </x:c>
      <x:c r="D6" s="137" t="n">
        <x:v>3</x:v>
      </x:c>
      <x:c r="E6" s="137" t="n">
        <x:v>97</x:v>
      </x:c>
      <x:c r="F6" s="137" t="n">
        <x:v>45</x:v>
      </x:c>
      <x:c r="G6" s="137" t="n">
        <x:v>46.238</x:v>
      </x:c>
      <x:c r="H6" s="346" t="n">
        <x:v>0.9732231191660812</x:v>
      </x:c>
      <x:c r="I6" s="137" t="n">
        <x:v>5</x:v>
      </x:c>
      <x:c r="J6" s="137" t="n">
        <x:v>2.704</x:v>
      </x:c>
      <x:c r="K6" s="346" t="n">
        <x:v>1.8492492048228433</x:v>
      </x:c>
      <x:c r="L6" s="172" t="n">
        <x:v>0.1380399401991013</x:v>
      </x:c>
    </x:row>
    <x:row r="7">
      <x:c r="A7" s="139" t="str">
        <x:v>독립 17~26</x:v>
      </x:c>
      <x:c r="B7" s="140" t="str">
        <x:v>보류</x:v>
      </x:c>
      <x:c r="C7" s="140" t="str">
        <x:v>20, 21, 22, 25, 26</x:v>
      </x:c>
      <x:c r="D7" s="140" t="n">
        <x:v>5</x:v>
      </x:c>
      <x:c r="E7" s="140" t="n">
        <x:v>189</x:v>
      </x:c>
      <x:c r="F7" s="140" t="n">
        <x:v>86</x:v>
      </x:c>
      <x:c r="G7" s="140" t="n">
        <x:v>90.093</x:v>
      </x:c>
      <x:c r="H7" s="347" t="n">
        <x:v>0.9545711064178072</x:v>
      </x:c>
      <x:c r="I7" s="140" t="n">
        <x:v>4</x:v>
      </x:c>
      <x:c r="J7" s="140" t="n">
        <x:v>5.278</x:v>
      </x:c>
      <x:c r="K7" s="347" t="n">
        <x:v>0.7579011191673191</x:v>
      </x:c>
      <x:c r="L7" s="173" t="n">
        <x:v>0.7732641544057295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25" hidden="0" customWidth="1"/>
    <x:col min="2" max="2" width="4.25" hidden="0" customWidth="1"/>
    <x:col min="3" max="3" width="16" hidden="0" customWidth="1"/>
    <x:col min="4" max="4" width="13.880000114440918" hidden="0" customWidth="1"/>
    <x:col min="5" max="5" width="15.630000114440918" hidden="0" customWidth="1"/>
    <x:col min="6" max="6" width="17.8799991607666" hidden="0" customWidth="1"/>
    <x:col min="7" max="7" width="10.130000114440918" hidden="0" customWidth="1"/>
    <x:col min="8" max="8" width="4.25" hidden="0" customWidth="1"/>
    <x:col min="9" max="9" width="6.5" hidden="0" customWidth="1"/>
    <x:col min="10" max="10" width="8.380000114440918" hidden="0" customWidth="1"/>
    <x:col min="11" max="11" width="8.380000114440918" hidden="0" customWidth="1"/>
    <x:col min="12" max="12" width="8.380000114440918" hidden="0" customWidth="1"/>
    <x:col min="13" max="13" width="8.380000114440918" hidden="0" customWidth="1"/>
    <x:col min="14" max="14" width="8.380000114440918" hidden="0" customWidth="1"/>
    <x:col min="15" max="15" width="8.380000114440918" hidden="0" customWidth="1"/>
    <x:col min="16" max="16" width="12.380000114440918" hidden="0" customWidth="1"/>
    <x:col min="17" max="17" width="11.5" hidden="0" customWidth="1"/>
  </x:cols>
  <x:sheetData>
    <x:row r="1">
      <x:c r="A1" s="111" t="str">
        <x:v>구간</x:v>
      </x:c>
      <x:c r="B1" s="112" t="str">
        <x:v>블록</x:v>
      </x:c>
      <x:c r="C1" s="112" t="str">
        <x:v>입력 회차</x:v>
      </x:c>
      <x:c r="D1" s="112" t="str">
        <x:v>최근20 지지상관</x:v>
      </x:c>
      <x:c r="E1" s="112" t="str">
        <x:v>후보합계 표준편차</x:v>
      </x:c>
      <x:c r="F1" s="112" t="str">
        <x:v>최근10 빈도 표준편차</x:v>
      </x:c>
      <x:c r="G1" s="112" t="str">
        <x:v>게이트 확률</x:v>
      </x:c>
      <x:c r="H1" s="112" t="str">
        <x:v>판정</x:v>
      </x:c>
      <x:c r="I1" s="112" t="str">
        <x:v>세트 수</x:v>
      </x:c>
      <x:c r="J1" s="112" t="str">
        <x:v>3개+ 관측</x:v>
      </x:c>
      <x:c r="K1" s="112" t="str">
        <x:v>3개+ 기대</x:v>
      </x:c>
      <x:c r="L1" s="112" t="str">
        <x:v>3개+ 배수</x:v>
      </x:c>
      <x:c r="M1" s="112" t="str">
        <x:v>4개+ 관측</x:v>
      </x:c>
      <x:c r="N1" s="112" t="str">
        <x:v>4개+ 기대</x:v>
      </x:c>
      <x:c r="O1" s="112" t="str">
        <x:v>4개+ 배수</x:v>
      </x:c>
      <x:c r="P1" s="112" t="str">
        <x:v>4개+ 발생 회차</x:v>
      </x:c>
      <x:c r="Q1" s="113" t="str">
        <x:v>최초 4개 대기</x:v>
      </x:c>
    </x:row>
    <x:row r="2">
      <x:c r="A2" s="133" t="str">
        <x:v>개발</x:v>
      </x:c>
      <x:c r="B2" s="134" t="n">
        <x:v>1</x:v>
      </x:c>
      <x:c r="C2" s="134" t="str">
        <x:v>1~45</x:v>
      </x:c>
      <x:c r="D2" s="345" t="n">
        <x:v>0.5003910833605344</x:v>
      </x:c>
      <x:c r="E2" s="345" t="n">
        <x:v>13.062414274040869</x:v>
      </x:c>
      <x:c r="F2" s="345" t="n">
        <x:v>1.1155467020454342</x:v>
      </x:c>
      <x:c r="G2" s="345" t="n">
        <x:v>0.10488389812812084</x:v>
      </x:c>
      <x:c r="H2" s="134" t="str">
        <x:v>보류</x:v>
      </x:c>
      <x:c r="I2" s="134" t="n">
        <x:v>30</x:v>
      </x:c>
      <x:c r="J2" s="345" t="n">
        <x:v>15</x:v>
      </x:c>
      <x:c r="K2" s="345" t="n">
        <x:v>14.300447142194164</x:v>
      </x:c>
      <x:c r="L2" s="345" t="n">
        <x:v>1.0489182506567765</x:v>
      </x:c>
      <x:c r="M2" s="345" t="n">
        <x:v>0</x:v>
      </x:c>
      <x:c r="N2" s="345" t="n">
        <x:v>0.8360896052331106</x:v>
      </x:c>
      <x:c r="O2" s="345" t="n">
        <x:v>0</x:v>
      </x:c>
      <x:c r="P2" s="134" t="n">
        <x:v>0</x:v>
      </x:c>
      <x:c r="Q2" s="135" t="str"/>
    </x:row>
    <x:row r="3">
      <x:c r="A3" s="136" t="str">
        <x:v>개발</x:v>
      </x:c>
      <x:c r="B3" s="137" t="n">
        <x:v>2</x:v>
      </x:c>
      <x:c r="C3" s="137" t="str">
        <x:v>46~90</x:v>
      </x:c>
      <x:c r="D3" s="346" t="n">
        <x:v>0.42071748849816665</x:v>
      </x:c>
      <x:c r="E3" s="346" t="n">
        <x:v>20.555549426977088</x:v>
      </x:c>
      <x:c r="F3" s="346" t="n">
        <x:v>0.8164965809277259</x:v>
      </x:c>
      <x:c r="G3" s="346" t="n">
        <x:v>0.608040269972144</x:v>
      </x:c>
      <x:c r="H3" s="137" t="str">
        <x:v>관찰</x:v>
      </x:c>
      <x:c r="I3" s="137" t="n">
        <x:v>35</x:v>
      </x:c>
      <x:c r="J3" s="346" t="n">
        <x:v>13</x:v>
      </x:c>
      <x:c r="K3" s="346" t="n">
        <x:v>16.683854999226526</x:v>
      </x:c>
      <x:c r="L3" s="346" t="n">
        <x:v>0.7791964147736052</x:v>
      </x:c>
      <x:c r="M3" s="346" t="n">
        <x:v>4</x:v>
      </x:c>
      <x:c r="N3" s="346" t="n">
        <x:v>0.9754378727719624</x:v>
      </x:c>
      <x:c r="O3" s="346" t="n">
        <x:v>4.100722466960352</x:v>
      </x:c>
      <x:c r="P3" s="137" t="n">
        <x:v>4</x:v>
      </x:c>
      <x:c r="Q3" s="138" t="n">
        <x:v>7</x:v>
      </x:c>
    </x:row>
    <x:row r="4">
      <x:c r="A4" s="136" t="str">
        <x:v>개발</x:v>
      </x:c>
      <x:c r="B4" s="137" t="n">
        <x:v>3</x:v>
      </x:c>
      <x:c r="C4" s="137" t="str">
        <x:v>91~135</x:v>
      </x:c>
      <x:c r="D4" s="346" t="n">
        <x:v>0.4624625458724651</x:v>
      </x:c>
      <x:c r="E4" s="346" t="n">
        <x:v>20.167378500638613</x:v>
      </x:c>
      <x:c r="F4" s="346" t="n">
        <x:v>0.8944271909999157</x:v>
      </x:c>
      <x:c r="G4" s="346" t="n">
        <x:v>0.6609032556688563</x:v>
      </x:c>
      <x:c r="H4" s="137" t="str">
        <x:v>관찰</x:v>
      </x:c>
      <x:c r="I4" s="137" t="n">
        <x:v>37</x:v>
      </x:c>
      <x:c r="J4" s="346" t="n">
        <x:v>13</x:v>
      </x:c>
      <x:c r="K4" s="346" t="n">
        <x:v>17.63721814203947</x:v>
      </x:c>
      <x:c r="L4" s="346" t="n">
        <x:v>0.7370776896507077</x:v>
      </x:c>
      <x:c r="M4" s="346" t="n">
        <x:v>1</x:v>
      </x:c>
      <x:c r="N4" s="346" t="n">
        <x:v>1.0311771797875031</x:v>
      </x:c>
      <x:c r="O4" s="346" t="n">
        <x:v>0.9697654482676509</x:v>
      </x:c>
      <x:c r="P4" s="137" t="n">
        <x:v>1</x:v>
      </x:c>
      <x:c r="Q4" s="138" t="n">
        <x:v>11</x:v>
      </x:c>
    </x:row>
    <x:row r="5">
      <x:c r="A5" s="136" t="str">
        <x:v>개발</x:v>
      </x:c>
      <x:c r="B5" s="137" t="n">
        <x:v>4</x:v>
      </x:c>
      <x:c r="C5" s="137" t="str">
        <x:v>136~180</x:v>
      </x:c>
      <x:c r="D5" s="346" t="n">
        <x:v>0.7043768213239315</x:v>
      </x:c>
      <x:c r="E5" s="346" t="n">
        <x:v>13.785680349513473</x:v>
      </x:c>
      <x:c r="F5" s="346" t="n">
        <x:v>0.9189365834726815</x:v>
      </x:c>
      <x:c r="G5" s="346" t="n">
        <x:v>0.8264020297075639</x:v>
      </x:c>
      <x:c r="H5" s="137" t="str">
        <x:v>출전</x:v>
      </x:c>
      <x:c r="I5" s="137" t="n">
        <x:v>34</x:v>
      </x:c>
      <x:c r="J5" s="346" t="n">
        <x:v>12</x:v>
      </x:c>
      <x:c r="K5" s="346" t="n">
        <x:v>16.207173427820052</x:v>
      </x:c>
      <x:c r="L5" s="346" t="n">
        <x:v>0.740412882816548</x:v>
      </x:c>
      <x:c r="M5" s="346" t="n">
        <x:v>2</x:v>
      </x:c>
      <x:c r="N5" s="346" t="n">
        <x:v>0.947568219264192</x:v>
      </x:c>
      <x:c r="O5" s="346" t="n">
        <x:v>2.110665975641358</x:v>
      </x:c>
      <x:c r="P5" s="137" t="n">
        <x:v>2</x:v>
      </x:c>
      <x:c r="Q5" s="138" t="n">
        <x:v>3</x:v>
      </x:c>
    </x:row>
    <x:row r="6">
      <x:c r="A6" s="136" t="str">
        <x:v>개발</x:v>
      </x:c>
      <x:c r="B6" s="137" t="n">
        <x:v>5</x:v>
      </x:c>
      <x:c r="C6" s="137" t="str">
        <x:v>181~225</x:v>
      </x:c>
      <x:c r="D6" s="346" t="n">
        <x:v>0.6826536421877469</x:v>
      </x:c>
      <x:c r="E6" s="346" t="n">
        <x:v>17.063969742146213</x:v>
      </x:c>
      <x:c r="F6" s="346" t="n">
        <x:v>1.1155467020454342</x:v>
      </x:c>
      <x:c r="G6" s="346" t="n">
        <x:v>0.8789052943582136</x:v>
      </x:c>
      <x:c r="H6" s="137" t="str">
        <x:v>출전</x:v>
      </x:c>
      <x:c r="I6" s="137" t="n">
        <x:v>33</x:v>
      </x:c>
      <x:c r="J6" s="346" t="n">
        <x:v>19</x:v>
      </x:c>
      <x:c r="K6" s="346" t="n">
        <x:v>15.73049185641358</x:v>
      </x:c>
      <x:c r="L6" s="346" t="n">
        <x:v>1.2078452583320456</x:v>
      </x:c>
      <x:c r="M6" s="346" t="n">
        <x:v>3</x:v>
      </x:c>
      <x:c r="N6" s="346" t="n">
        <x:v>0.9196985657564216</x:v>
      </x:c>
      <x:c r="O6" s="346" t="n">
        <x:v>3.26193832599119</x:v>
      </x:c>
      <x:c r="P6" s="137" t="n">
        <x:v>1</x:v>
      </x:c>
      <x:c r="Q6" s="138" t="n">
        <x:v>5</x:v>
      </x:c>
    </x:row>
    <x:row r="7">
      <x:c r="A7" s="136" t="str">
        <x:v>개발</x:v>
      </x:c>
      <x:c r="B7" s="137" t="n">
        <x:v>6</x:v>
      </x:c>
      <x:c r="C7" s="137" t="str">
        <x:v>226~270</x:v>
      </x:c>
      <x:c r="D7" s="346" t="n">
        <x:v>0.6735006831771286</x:v>
      </x:c>
      <x:c r="E7" s="346" t="n">
        <x:v>13.473317216506445</x:v>
      </x:c>
      <x:c r="F7" s="346" t="n">
        <x:v>1.0110500592068734</x:v>
      </x:c>
      <x:c r="G7" s="346" t="n">
        <x:v>0.6793842218124893</x:v>
      </x:c>
      <x:c r="H7" s="137" t="str">
        <x:v>출전</x:v>
      </x:c>
      <x:c r="I7" s="137" t="n">
        <x:v>34</x:v>
      </x:c>
      <x:c r="J7" s="346" t="n">
        <x:v>20</x:v>
      </x:c>
      <x:c r="K7" s="346" t="n">
        <x:v>16.207173427820052</x:v>
      </x:c>
      <x:c r="L7" s="346" t="n">
        <x:v>1.2340214713609134</x:v>
      </x:c>
      <x:c r="M7" s="346" t="n">
        <x:v>3</x:v>
      </x:c>
      <x:c r="N7" s="346" t="n">
        <x:v>0.947568219264192</x:v>
      </x:c>
      <x:c r="O7" s="346" t="n">
        <x:v>3.165998963462037</x:v>
      </x:c>
      <x:c r="P7" s="137" t="n">
        <x:v>2</x:v>
      </x:c>
      <x:c r="Q7" s="138" t="n">
        <x:v>1</x:v>
      </x:c>
    </x:row>
    <x:row r="8">
      <x:c r="A8" s="136" t="str">
        <x:v>개발</x:v>
      </x:c>
      <x:c r="B8" s="137" t="n">
        <x:v>7</x:v>
      </x:c>
      <x:c r="C8" s="137" t="str">
        <x:v>271~315</x:v>
      </x:c>
      <x:c r="D8" s="346" t="n">
        <x:v>0.6656250437815879</x:v>
      </x:c>
      <x:c r="E8" s="346" t="n">
        <x:v>14.74373249615539</x:v>
      </x:c>
      <x:c r="F8" s="346" t="n">
        <x:v>1.1737877907772674</x:v>
      </x:c>
      <x:c r="G8" s="346" t="n">
        <x:v>0.6650064782133882</x:v>
      </x:c>
      <x:c r="H8" s="137" t="str">
        <x:v>출전</x:v>
      </x:c>
      <x:c r="I8" s="137" t="n">
        <x:v>37</x:v>
      </x:c>
      <x:c r="J8" s="346" t="n">
        <x:v>16</x:v>
      </x:c>
      <x:c r="K8" s="346" t="n">
        <x:v>17.63721814203947</x:v>
      </x:c>
      <x:c r="L8" s="346" t="n">
        <x:v>0.9071725411085634</x:v>
      </x:c>
      <x:c r="M8" s="346" t="n">
        <x:v>2</x:v>
      </x:c>
      <x:c r="N8" s="346" t="n">
        <x:v>1.0311771797875031</x:v>
      </x:c>
      <x:c r="O8" s="346" t="n">
        <x:v>1.9395308965353018</x:v>
      </x:c>
      <x:c r="P8" s="137" t="n">
        <x:v>2</x:v>
      </x:c>
      <x:c r="Q8" s="138" t="n">
        <x:v>10</x:v>
      </x:c>
    </x:row>
    <x:row r="9">
      <x:c r="A9" s="136" t="str">
        <x:v>개발</x:v>
      </x:c>
      <x:c r="B9" s="137" t="n">
        <x:v>8</x:v>
      </x:c>
      <x:c r="C9" s="137" t="str">
        <x:v>316~360</x:v>
      </x:c>
      <x:c r="D9" s="346" t="n">
        <x:v>0.6643294248457898</x:v>
      </x:c>
      <x:c r="E9" s="346" t="n">
        <x:v>9.714679613862724</x:v>
      </x:c>
      <x:c r="F9" s="346" t="n">
        <x:v>1.1547005383792515</x:v>
      </x:c>
      <x:c r="G9" s="346" t="n">
        <x:v>0.22738654874501352</x:v>
      </x:c>
      <x:c r="H9" s="137" t="str">
        <x:v>보류</x:v>
      </x:c>
      <x:c r="I9" s="137" t="n">
        <x:v>32</x:v>
      </x:c>
      <x:c r="J9" s="346" t="n">
        <x:v>12</x:v>
      </x:c>
      <x:c r="K9" s="346" t="n">
        <x:v>15.253810285007107</x:v>
      </x:c>
      <x:c r="L9" s="346" t="n">
        <x:v>0.7866886879925824</x:v>
      </x:c>
      <x:c r="M9" s="346" t="n">
        <x:v>1</x:v>
      </x:c>
      <x:c r="N9" s="346" t="n">
        <x:v>0.8918289122486512</x:v>
      </x:c>
      <x:c r="O9" s="346" t="n">
        <x:v>1.1212912995594715</x:v>
      </x:c>
      <x:c r="P9" s="137" t="n">
        <x:v>1</x:v>
      </x:c>
      <x:c r="Q9" s="138" t="n">
        <x:v>20</x:v>
      </x:c>
    </x:row>
    <x:row r="10">
      <x:c r="A10" s="136" t="str">
        <x:v>개발</x:v>
      </x:c>
      <x:c r="B10" s="137" t="n">
        <x:v>9</x:v>
      </x:c>
      <x:c r="C10" s="137" t="str">
        <x:v>361~405</x:v>
      </x:c>
      <x:c r="D10" s="346" t="n">
        <x:v>0.611649018507996</x:v>
      </x:c>
      <x:c r="E10" s="346" t="n">
        <x:v>13.068888543057708</x:v>
      </x:c>
      <x:c r="F10" s="346" t="n">
        <x:v>0.9428090415820634</x:v>
      </x:c>
      <x:c r="G10" s="346" t="n">
        <x:v>0.476368595238789</x:v>
      </x:c>
      <x:c r="H10" s="137" t="str">
        <x:v>관찰</x:v>
      </x:c>
      <x:c r="I10" s="137" t="n">
        <x:v>34</x:v>
      </x:c>
      <x:c r="J10" s="346" t="n">
        <x:v>22</x:v>
      </x:c>
      <x:c r="K10" s="346" t="n">
        <x:v>16.207173427820052</x:v>
      </x:c>
      <x:c r="L10" s="346" t="n">
        <x:v>1.3574236184970048</x:v>
      </x:c>
      <x:c r="M10" s="346" t="n">
        <x:v>0</x:v>
      </x:c>
      <x:c r="N10" s="346" t="n">
        <x:v>0.947568219264192</x:v>
      </x:c>
      <x:c r="O10" s="346" t="n">
        <x:v>0</x:v>
      </x:c>
      <x:c r="P10" s="137" t="n">
        <x:v>0</x:v>
      </x:c>
      <x:c r="Q10" s="138" t="str"/>
    </x:row>
    <x:row r="11">
      <x:c r="A11" s="136" t="str">
        <x:v>개발</x:v>
      </x:c>
      <x:c r="B11" s="137" t="n">
        <x:v>10</x:v>
      </x:c>
      <x:c r="C11" s="137" t="str">
        <x:v>406~450</x:v>
      </x:c>
      <x:c r="D11" s="346" t="n">
        <x:v>0.5794521271689549</x:v>
      </x:c>
      <x:c r="E11" s="346" t="n">
        <x:v>16.32852997551928</x:v>
      </x:c>
      <x:c r="F11" s="346" t="n">
        <x:v>0.9428090415820635</x:v>
      </x:c>
      <x:c r="G11" s="346" t="n">
        <x:v>0.670108756175837</x:v>
      </x:c>
      <x:c r="H11" s="137" t="str">
        <x:v>출전</x:v>
      </x:c>
      <x:c r="I11" s="137" t="n">
        <x:v>37</x:v>
      </x:c>
      <x:c r="J11" s="346" t="n">
        <x:v>20</x:v>
      </x:c>
      <x:c r="K11" s="346" t="n">
        <x:v>17.63721814203947</x:v>
      </x:c>
      <x:c r="L11" s="346" t="n">
        <x:v>1.1339656763857042</x:v>
      </x:c>
      <x:c r="M11" s="346" t="n">
        <x:v>5</x:v>
      </x:c>
      <x:c r="N11" s="346" t="n">
        <x:v>1.0311771797875031</x:v>
      </x:c>
      <x:c r="O11" s="346" t="n">
        <x:v>4.848827241338254</x:v>
      </x:c>
      <x:c r="P11" s="137" t="n">
        <x:v>5</x:v>
      </x:c>
      <x:c r="Q11" s="138" t="n">
        <x:v>6</x:v>
      </x:c>
    </x:row>
    <x:row r="12">
      <x:c r="A12" s="136" t="str">
        <x:v>개발</x:v>
      </x:c>
      <x:c r="B12" s="137" t="n">
        <x:v>11</x:v>
      </x:c>
      <x:c r="C12" s="137" t="str">
        <x:v>451~495</x:v>
      </x:c>
      <x:c r="D12" s="346" t="n">
        <x:v>0.5723139921227519</x:v>
      </x:c>
      <x:c r="E12" s="346" t="n">
        <x:v>14.86602261056694</x:v>
      </x:c>
      <x:c r="F12" s="346" t="n">
        <x:v>1.2649110640673518</x:v>
      </x:c>
      <x:c r="G12" s="346" t="n">
        <x:v>0.3021518290203546</x:v>
      </x:c>
      <x:c r="H12" s="137" t="str">
        <x:v>관찰</x:v>
      </x:c>
      <x:c r="I12" s="137" t="n">
        <x:v>27</x:v>
      </x:c>
      <x:c r="J12" s="346" t="n">
        <x:v>19</x:v>
      </x:c>
      <x:c r="K12" s="346" t="n">
        <x:v>12.870402427974748</x:v>
      </x:c>
      <x:c r="L12" s="346" t="n">
        <x:v>1.476255315739167</x:v>
      </x:c>
      <x:c r="M12" s="346" t="n">
        <x:v>0</x:v>
      </x:c>
      <x:c r="N12" s="346" t="n">
        <x:v>0.7524806447097995</x:v>
      </x:c>
      <x:c r="O12" s="346" t="n">
        <x:v>0</x:v>
      </x:c>
      <x:c r="P12" s="137" t="n">
        <x:v>0</x:v>
      </x:c>
      <x:c r="Q12" s="138" t="str"/>
    </x:row>
    <x:row r="13">
      <x:c r="A13" s="136" t="str">
        <x:v>개발</x:v>
      </x:c>
      <x:c r="B13" s="137" t="n">
        <x:v>12</x:v>
      </x:c>
      <x:c r="C13" s="137" t="str">
        <x:v>496~540</x:v>
      </x:c>
      <x:c r="D13" s="346" t="n">
        <x:v>0.5128262001221475</x:v>
      </x:c>
      <x:c r="E13" s="346" t="n">
        <x:v>15.647165636950229</x:v>
      </x:c>
      <x:c r="F13" s="346" t="n">
        <x:v>0.8944271909999159</x:v>
      </x:c>
      <x:c r="G13" s="346" t="n">
        <x:v>0.40958724402285557</x:v>
      </x:c>
      <x:c r="H13" s="137" t="str">
        <x:v>관찰</x:v>
      </x:c>
      <x:c r="I13" s="137" t="n">
        <x:v>33</x:v>
      </x:c>
      <x:c r="J13" s="346" t="n">
        <x:v>16</x:v>
      </x:c>
      <x:c r="K13" s="346" t="n">
        <x:v>15.73049185641358</x:v>
      </x:c>
      <x:c r="L13" s="346" t="n">
        <x:v>1.0171328491217226</x:v>
      </x:c>
      <x:c r="M13" s="346" t="n">
        <x:v>1</x:v>
      </x:c>
      <x:c r="N13" s="346" t="n">
        <x:v>0.9196985657564216</x:v>
      </x:c>
      <x:c r="O13" s="346" t="n">
        <x:v>1.0873127753303966</x:v>
      </x:c>
      <x:c r="P13" s="137" t="n">
        <x:v>1</x:v>
      </x:c>
      <x:c r="Q13" s="138" t="n">
        <x:v>12</x:v>
      </x:c>
    </x:row>
    <x:row r="14">
      <x:c r="A14" s="136" t="str">
        <x:v>개발</x:v>
      </x:c>
      <x:c r="B14" s="137" t="n">
        <x:v>13</x:v>
      </x:c>
      <x:c r="C14" s="137" t="str">
        <x:v>541~585</x:v>
      </x:c>
      <x:c r="D14" s="346" t="n">
        <x:v>0.5877746866965159</x:v>
      </x:c>
      <x:c r="E14" s="346" t="n">
        <x:v>12.963181771179984</x:v>
      </x:c>
      <x:c r="F14" s="346" t="n">
        <x:v>1.1547005383792517</x:v>
      </x:c>
      <x:c r="G14" s="346" t="n">
        <x:v>0.2588063544281481</x:v>
      </x:c>
      <x:c r="H14" s="137" t="str">
        <x:v>보류</x:v>
      </x:c>
      <x:c r="I14" s="137" t="n">
        <x:v>35</x:v>
      </x:c>
      <x:c r="J14" s="346" t="n">
        <x:v>17</x:v>
      </x:c>
      <x:c r="K14" s="346" t="n">
        <x:v>16.683854999226526</x:v>
      </x:c>
      <x:c r="L14" s="346" t="n">
        <x:v>1.0189491577808685</x:v>
      </x:c>
      <x:c r="M14" s="346" t="n">
        <x:v>0</x:v>
      </x:c>
      <x:c r="N14" s="346" t="n">
        <x:v>0.9754378727719624</x:v>
      </x:c>
      <x:c r="O14" s="346" t="n">
        <x:v>0</x:v>
      </x:c>
      <x:c r="P14" s="137" t="n">
        <x:v>0</x:v>
      </x:c>
      <x:c r="Q14" s="138" t="str"/>
    </x:row>
    <x:row r="15">
      <x:c r="A15" s="136" t="str">
        <x:v>개발</x:v>
      </x:c>
      <x:c r="B15" s="137" t="n">
        <x:v>14</x:v>
      </x:c>
      <x:c r="C15" s="137" t="str">
        <x:v>586~630</x:v>
      </x:c>
      <x:c r="D15" s="346" t="n">
        <x:v>0.4526439846477541</x:v>
      </x:c>
      <x:c r="E15" s="346" t="n">
        <x:v>14.361718322263673</x:v>
      </x:c>
      <x:c r="F15" s="346" t="n">
        <x:v>0.966091783079296</x:v>
      </x:c>
      <x:c r="G15" s="346" t="n">
        <x:v>0.12897921650832964</x:v>
      </x:c>
      <x:c r="H15" s="137" t="str">
        <x:v>보류</x:v>
      </x:c>
      <x:c r="I15" s="137" t="n">
        <x:v>33</x:v>
      </x:c>
      <x:c r="J15" s="346" t="n">
        <x:v>12</x:v>
      </x:c>
      <x:c r="K15" s="346" t="n">
        <x:v>15.73049185641358</x:v>
      </x:c>
      <x:c r="L15" s="346" t="n">
        <x:v>0.7628496368412919</x:v>
      </x:c>
      <x:c r="M15" s="346" t="n">
        <x:v>0</x:v>
      </x:c>
      <x:c r="N15" s="346" t="n">
        <x:v>0.9196985657564216</x:v>
      </x:c>
      <x:c r="O15" s="346" t="n">
        <x:v>0</x:v>
      </x:c>
      <x:c r="P15" s="137" t="n">
        <x:v>0</x:v>
      </x:c>
      <x:c r="Q15" s="138" t="str"/>
    </x:row>
    <x:row r="16">
      <x:c r="A16" s="136" t="str">
        <x:v>개발</x:v>
      </x:c>
      <x:c r="B16" s="137" t="n">
        <x:v>15</x:v>
      </x:c>
      <x:c r="C16" s="137" t="str">
        <x:v>631~675</x:v>
      </x:c>
      <x:c r="D16" s="346" t="n">
        <x:v>0.41059786628388223</x:v>
      </x:c>
      <x:c r="E16" s="346" t="n">
        <x:v>15.1645948811989</x:v>
      </x:c>
      <x:c r="F16" s="346" t="n">
        <x:v>0.9888264649460885</x:v>
      </x:c>
      <x:c r="G16" s="346" t="n">
        <x:v>0.09472399463871098</x:v>
      </x:c>
      <x:c r="H16" s="137" t="str">
        <x:v>보류</x:v>
      </x:c>
      <x:c r="I16" s="137" t="n">
        <x:v>37</x:v>
      </x:c>
      <x:c r="J16" s="346" t="n">
        <x:v>19</x:v>
      </x:c>
      <x:c r="K16" s="346" t="n">
        <x:v>17.63721814203947</x:v>
      </x:c>
      <x:c r="L16" s="346" t="n">
        <x:v>1.0772673925664191</x:v>
      </x:c>
      <x:c r="M16" s="346" t="n">
        <x:v>0</x:v>
      </x:c>
      <x:c r="N16" s="346" t="n">
        <x:v>1.0311771797875031</x:v>
      </x:c>
      <x:c r="O16" s="346" t="n">
        <x:v>0</x:v>
      </x:c>
      <x:c r="P16" s="137" t="n">
        <x:v>0</x:v>
      </x:c>
      <x:c r="Q16" s="138" t="str"/>
    </x:row>
    <x:row r="17">
      <x:c r="A17" s="136" t="str">
        <x:v>개발</x:v>
      </x:c>
      <x:c r="B17" s="137" t="n">
        <x:v>16</x:v>
      </x:c>
      <x:c r="C17" s="137" t="str">
        <x:v>676~720</x:v>
      </x:c>
      <x:c r="D17" s="346" t="n">
        <x:v>0.5820518550740938</x:v>
      </x:c>
      <x:c r="E17" s="346" t="n">
        <x:v>13.48268786156226</x:v>
      </x:c>
      <x:c r="F17" s="346" t="n">
        <x:v>0.9660917830792961</x:v>
      </x:c>
      <x:c r="G17" s="346" t="n">
        <x:v>0.39714191827993534</x:v>
      </x:c>
      <x:c r="H17" s="137" t="str">
        <x:v>관찰</x:v>
      </x:c>
      <x:c r="I17" s="137" t="n">
        <x:v>34</x:v>
      </x:c>
      <x:c r="J17" s="346" t="n">
        <x:v>17</x:v>
      </x:c>
      <x:c r="K17" s="346" t="n">
        <x:v>16.207173427820052</x:v>
      </x:c>
      <x:c r="L17" s="346" t="n">
        <x:v>1.0489182506567765</x:v>
      </x:c>
      <x:c r="M17" s="346" t="n">
        <x:v>0</x:v>
      </x:c>
      <x:c r="N17" s="346" t="n">
        <x:v>0.947568219264192</x:v>
      </x:c>
      <x:c r="O17" s="346" t="n">
        <x:v>0</x:v>
      </x:c>
      <x:c r="P17" s="137" t="n">
        <x:v>0</x:v>
      </x:c>
      <x:c r="Q17" s="138" t="str"/>
    </x:row>
    <x:row r="18">
      <x:c r="A18" s="136" t="str">
        <x:v>독립 검증</x:v>
      </x:c>
      <x:c r="B18" s="137" t="n">
        <x:v>17</x:v>
      </x:c>
      <x:c r="C18" s="137" t="str">
        <x:v>721~765</x:v>
      </x:c>
      <x:c r="D18" s="346" t="n">
        <x:v>0.5644585341706152</x:v>
      </x:c>
      <x:c r="E18" s="346" t="n">
        <x:v>14.800900873482894</x:v>
      </x:c>
      <x:c r="F18" s="346" t="n">
        <x:v>1.1155467020454342</x:v>
      </x:c>
      <x:c r="G18" s="346" t="n">
        <x:v>0.3622786299290399</x:v>
      </x:c>
      <x:c r="H18" s="137" t="str">
        <x:v>관찰</x:v>
      </x:c>
      <x:c r="I18" s="137" t="n">
        <x:v>30</x:v>
      </x:c>
      <x:c r="J18" s="346" t="n">
        <x:v>12</x:v>
      </x:c>
      <x:c r="K18" s="346" t="n">
        <x:v>14.300447142194164</x:v>
      </x:c>
      <x:c r="L18" s="346" t="n">
        <x:v>0.8391346005254211</x:v>
      </x:c>
      <x:c r="M18" s="346" t="n">
        <x:v>1</x:v>
      </x:c>
      <x:c r="N18" s="346" t="n">
        <x:v>0.8360896052331106</x:v>
      </x:c>
      <x:c r="O18" s="346" t="n">
        <x:v>1.1960440528634362</x:v>
      </x:c>
      <x:c r="P18" s="137" t="n">
        <x:v>1</x:v>
      </x:c>
      <x:c r="Q18" s="138" t="n">
        <x:v>4</x:v>
      </x:c>
    </x:row>
    <x:row r="19">
      <x:c r="A19" s="136" t="str">
        <x:v>독립 검증</x:v>
      </x:c>
      <x:c r="B19" s="137" t="n">
        <x:v>18</x:v>
      </x:c>
      <x:c r="C19" s="137" t="str">
        <x:v>766~810</x:v>
      </x:c>
      <x:c r="D19" s="346" t="n">
        <x:v>0.556758656496577</x:v>
      </x:c>
      <x:c r="E19" s="346" t="n">
        <x:v>15.924493906333083</x:v>
      </x:c>
      <x:c r="F19" s="346" t="n">
        <x:v>1.07496769977314</x:v>
      </x:c>
      <x:c r="G19" s="346" t="n">
        <x:v>0.4676319071168197</x:v>
      </x:c>
      <x:c r="H19" s="137" t="str">
        <x:v>관찰</x:v>
      </x:c>
      <x:c r="I19" s="137" t="n">
        <x:v>36</x:v>
      </x:c>
      <x:c r="J19" s="346" t="n">
        <x:v>18</x:v>
      </x:c>
      <x:c r="K19" s="346" t="n">
        <x:v>17.160536570632996</x:v>
      </x:c>
      <x:c r="L19" s="346" t="n">
        <x:v>1.0489182506567765</x:v>
      </x:c>
      <x:c r="M19" s="346" t="n">
        <x:v>2</x:v>
      </x:c>
      <x:c r="N19" s="346" t="n">
        <x:v>1.0033075262797326</x:v>
      </x:c>
      <x:c r="O19" s="346" t="n">
        <x:v>1.9934067547723937</x:v>
      </x:c>
      <x:c r="P19" s="137" t="n">
        <x:v>2</x:v>
      </x:c>
      <x:c r="Q19" s="138" t="n">
        <x:v>11</x:v>
      </x:c>
    </x:row>
    <x:row r="20">
      <x:c r="A20" s="136" t="str">
        <x:v>독립 검증</x:v>
      </x:c>
      <x:c r="B20" s="137" t="n">
        <x:v>19</x:v>
      </x:c>
      <x:c r="C20" s="137" t="str">
        <x:v>811~855</x:v>
      </x:c>
      <x:c r="D20" s="346" t="n">
        <x:v>0.6469748789477451</x:v>
      </x:c>
      <x:c r="E20" s="346" t="n">
        <x:v>11.016022764329454</x:v>
      </x:c>
      <x:c r="F20" s="346" t="n">
        <x:v>0.9888264649460885</x:v>
      </x:c>
      <x:c r="G20" s="346" t="n">
        <x:v>0.3744653674415891</x:v>
      </x:c>
      <x:c r="H20" s="137" t="str">
        <x:v>관찰</x:v>
      </x:c>
      <x:c r="I20" s="137" t="n">
        <x:v>31</x:v>
      </x:c>
      <x:c r="J20" s="346" t="n">
        <x:v>15</x:v>
      </x:c>
      <x:c r="K20" s="346" t="n">
        <x:v>14.777128713600636</x:v>
      </x:c>
      <x:c r="L20" s="346" t="n">
        <x:v>1.015082178054945</x:v>
      </x:c>
      <x:c r="M20" s="346" t="n">
        <x:v>2</x:v>
      </x:c>
      <x:c r="N20" s="346" t="n">
        <x:v>0.8639592587408809</x:v>
      </x:c>
      <x:c r="O20" s="346" t="n">
        <x:v>2.31492397328407</x:v>
      </x:c>
      <x:c r="P20" s="137" t="n">
        <x:v>2</x:v>
      </x:c>
      <x:c r="Q20" s="138" t="n">
        <x:v>8</x:v>
      </x:c>
    </x:row>
    <x:row r="21">
      <x:c r="A21" s="136" t="str">
        <x:v>독립 검증</x:v>
      </x:c>
      <x:c r="B21" s="137" t="n">
        <x:v>20</x:v>
      </x:c>
      <x:c r="C21" s="137" t="str">
        <x:v>856~900</x:v>
      </x:c>
      <x:c r="D21" s="346" t="n">
        <x:v>0.4867085841667879</x:v>
      </x:c>
      <x:c r="E21" s="346" t="n">
        <x:v>13.08768505122277</x:v>
      </x:c>
      <x:c r="F21" s="346" t="n">
        <x:v>1.0540925533894598</x:v>
      </x:c>
      <x:c r="G21" s="346" t="n">
        <x:v>0.1033812213397286</x:v>
      </x:c>
      <x:c r="H21" s="137" t="str">
        <x:v>보류</x:v>
      </x:c>
      <x:c r="I21" s="137" t="n">
        <x:v>40</x:v>
      </x:c>
      <x:c r="J21" s="346" t="n">
        <x:v>19</x:v>
      </x:c>
      <x:c r="K21" s="346" t="n">
        <x:v>19.067262856258886</x:v>
      </x:c>
      <x:c r="L21" s="346" t="n">
        <x:v>0.9964723381239375</x:v>
      </x:c>
      <x:c r="M21" s="346" t="n">
        <x:v>1</x:v>
      </x:c>
      <x:c r="N21" s="346" t="n">
        <x:v>1.1147861403108141</x:v>
      </x:c>
      <x:c r="O21" s="346" t="n">
        <x:v>0.8970330396475771</x:v>
      </x:c>
      <x:c r="P21" s="137" t="n">
        <x:v>1</x:v>
      </x:c>
      <x:c r="Q21" s="138" t="n">
        <x:v>13</x:v>
      </x:c>
    </x:row>
    <x:row r="22">
      <x:c r="A22" s="136" t="str">
        <x:v>독립 검증</x:v>
      </x:c>
      <x:c r="B22" s="137" t="n">
        <x:v>21</x:v>
      </x:c>
      <x:c r="C22" s="137" t="str">
        <x:v>901~945</x:v>
      </x:c>
      <x:c r="D22" s="346" t="n">
        <x:v>0.3827343894644063</x:v>
      </x:c>
      <x:c r="E22" s="346" t="n">
        <x:v>15.142609124953042</x:v>
      </x:c>
      <x:c r="F22" s="346" t="n">
        <x:v>0.8944271909999161</x:v>
      </x:c>
      <x:c r="G22" s="346" t="n">
        <x:v>0.08298772744627607</x:v>
      </x:c>
      <x:c r="H22" s="137" t="str">
        <x:v>보류</x:v>
      </x:c>
      <x:c r="I22" s="137" t="n">
        <x:v>36</x:v>
      </x:c>
      <x:c r="J22" s="346" t="n">
        <x:v>16</x:v>
      </x:c>
      <x:c r="K22" s="346" t="n">
        <x:v>17.160536570632996</x:v>
      </x:c>
      <x:c r="L22" s="346" t="n">
        <x:v>0.9323717783615791</x:v>
      </x:c>
      <x:c r="M22" s="346" t="n">
        <x:v>3</x:v>
      </x:c>
      <x:c r="N22" s="346" t="n">
        <x:v>1.0033075262797326</x:v>
      </x:c>
      <x:c r="O22" s="346" t="n">
        <x:v>2.990110132158591</x:v>
      </x:c>
      <x:c r="P22" s="137" t="n">
        <x:v>2</x:v>
      </x:c>
      <x:c r="Q22" s="138" t="n">
        <x:v>8</x:v>
      </x:c>
    </x:row>
    <x:row r="23">
      <x:c r="A23" s="136" t="str">
        <x:v>독립 검증</x:v>
      </x:c>
      <x:c r="B23" s="137" t="n">
        <x:v>22</x:v>
      </x:c>
      <x:c r="C23" s="137" t="str">
        <x:v>946~990</x:v>
      </x:c>
      <x:c r="D23" s="346" t="n">
        <x:v>0.5402242137033569</x:v>
      </x:c>
      <x:c r="E23" s="346" t="n">
        <x:v>13.387781256825548</x:v>
      </x:c>
      <x:c r="F23" s="346" t="n">
        <x:v>1.0954451150103324</x:v>
      </x:c>
      <x:c r="G23" s="346" t="n">
        <x:v>0.19788727221416846</x:v>
      </x:c>
      <x:c r="H23" s="137" t="str">
        <x:v>보류</x:v>
      </x:c>
      <x:c r="I23" s="137" t="n">
        <x:v>38</x:v>
      </x:c>
      <x:c r="J23" s="346" t="n">
        <x:v>14</x:v>
      </x:c>
      <x:c r="K23" s="346" t="n">
        <x:v>18.11389971344594</x:v>
      </x:c>
      <x:c r="L23" s="346" t="n">
        <x:v>0.772887132062888</x:v>
      </x:c>
      <x:c r="M23" s="346" t="n">
        <x:v>0</x:v>
      </x:c>
      <x:c r="N23" s="346" t="n">
        <x:v>1.0590468332952734</x:v>
      </x:c>
      <x:c r="O23" s="346" t="n">
        <x:v>0</x:v>
      </x:c>
      <x:c r="P23" s="137" t="n">
        <x:v>0</x:v>
      </x:c>
      <x:c r="Q23" s="138" t="str"/>
    </x:row>
    <x:row r="24">
      <x:c r="A24" s="136" t="str">
        <x:v>독립 검증</x:v>
      </x:c>
      <x:c r="B24" s="137" t="n">
        <x:v>23</x:v>
      </x:c>
      <x:c r="C24" s="137" t="str">
        <x:v>991~1035</x:v>
      </x:c>
      <x:c r="D24" s="346" t="n">
        <x:v>0.8616139835295284</x:v>
      </x:c>
      <x:c r="E24" s="346" t="n">
        <x:v>15.663665833719364</x:v>
      </x:c>
      <x:c r="F24" s="346" t="n">
        <x:v>1.0954451150103324</x:v>
      </x:c>
      <x:c r="G24" s="346" t="n">
        <x:v>0.9825334950084632</x:v>
      </x:c>
      <x:c r="H24" s="137" t="str">
        <x:v>출전</x:v>
      </x:c>
      <x:c r="I24" s="137" t="n">
        <x:v>39</x:v>
      </x:c>
      <x:c r="J24" s="346" t="n">
        <x:v>23</x:v>
      </x:c>
      <x:c r="K24" s="346" t="n">
        <x:v>18.590581284852412</x:v>
      </x:c>
      <x:c r="L24" s="346" t="n">
        <x:v>1.2371856289797876</x:v>
      </x:c>
      <x:c r="M24" s="346" t="n">
        <x:v>3</x:v>
      </x:c>
      <x:c r="N24" s="346" t="n">
        <x:v>1.0869164868030436</x:v>
      </x:c>
      <x:c r="O24" s="346" t="n">
        <x:v>2.7601016604540836</x:v>
      </x:c>
      <x:c r="P24" s="137" t="n">
        <x:v>3</x:v>
      </x:c>
      <x:c r="Q24" s="138" t="n">
        <x:v>7</x:v>
      </x:c>
    </x:row>
    <x:row r="25">
      <x:c r="A25" s="136" t="str">
        <x:v>독립 검증</x:v>
      </x:c>
      <x:c r="B25" s="137" t="n">
        <x:v>24</x:v>
      </x:c>
      <x:c r="C25" s="137" t="str">
        <x:v>1036~1080</x:v>
      </x:c>
      <x:c r="D25" s="346" t="n">
        <x:v>0.8025257327561753</x:v>
      </x:c>
      <x:c r="E25" s="346" t="n">
        <x:v>14.587856441422623</x:v>
      </x:c>
      <x:c r="F25" s="346" t="n">
        <x:v>0.9888264649460885</x:v>
      </x:c>
      <x:c r="G25" s="346" t="n">
        <x:v>0.9555922370594817</x:v>
      </x:c>
      <x:c r="H25" s="137" t="str">
        <x:v>출전</x:v>
      </x:c>
      <x:c r="I25" s="137" t="n">
        <x:v>36</x:v>
      </x:c>
      <x:c r="J25" s="346" t="n">
        <x:v>24</x:v>
      </x:c>
      <x:c r="K25" s="346" t="n">
        <x:v>17.160536570632996</x:v>
      </x:c>
      <x:c r="L25" s="346" t="n">
        <x:v>1.3985576675423685</x:v>
      </x:c>
      <x:c r="M25" s="346" t="n">
        <x:v>6</x:v>
      </x:c>
      <x:c r="N25" s="346" t="n">
        <x:v>1.0033075262797326</x:v>
      </x:c>
      <x:c r="O25" s="346" t="n">
        <x:v>5.980220264317182</x:v>
      </x:c>
      <x:c r="P25" s="137" t="n">
        <x:v>5</x:v>
      </x:c>
      <x:c r="Q25" s="138" t="n">
        <x:v>3</x:v>
      </x:c>
    </x:row>
    <x:row r="26">
      <x:c r="A26" s="136" t="str">
        <x:v>독립 검증</x:v>
      </x:c>
      <x:c r="B26" s="137" t="n">
        <x:v>25</x:v>
      </x:c>
      <x:c r="C26" s="137" t="str">
        <x:v>1081~1125</x:v>
      </x:c>
      <x:c r="D26" s="346" t="n">
        <x:v>0.46927364768753954</x:v>
      </x:c>
      <x:c r="E26" s="346" t="n">
        <x:v>13.787364242029087</x:v>
      </x:c>
      <x:c r="F26" s="346" t="n">
        <x:v>1.0954451150103324</x:v>
      </x:c>
      <x:c r="G26" s="346" t="n">
        <x:v>0.095372724185268</x:v>
      </x:c>
      <x:c r="H26" s="137" t="str">
        <x:v>보류</x:v>
      </x:c>
      <x:c r="I26" s="137" t="n">
        <x:v>38</x:v>
      </x:c>
      <x:c r="J26" s="346" t="n">
        <x:v>15</x:v>
      </x:c>
      <x:c r="K26" s="346" t="n">
        <x:v>18.11389971344594</x:v>
      </x:c>
      <x:c r="L26" s="346" t="n">
        <x:v>0.8280933557816657</x:v>
      </x:c>
      <x:c r="M26" s="346" t="n">
        <x:v>0</x:v>
      </x:c>
      <x:c r="N26" s="346" t="n">
        <x:v>1.0590468332952734</x:v>
      </x:c>
      <x:c r="O26" s="346" t="n">
        <x:v>0</x:v>
      </x:c>
      <x:c r="P26" s="137" t="n">
        <x:v>0</x:v>
      </x:c>
      <x:c r="Q26" s="138" t="str"/>
    </x:row>
    <x:row r="27">
      <x:c r="A27" s="139" t="str">
        <x:v>독립 검증</x:v>
      </x:c>
      <x:c r="B27" s="140" t="n">
        <x:v>26</x:v>
      </x:c>
      <x:c r="C27" s="140" t="str">
        <x:v>1126~1170</x:v>
      </x:c>
      <x:c r="D27" s="347" t="n">
        <x:v>0.48291713080390986</x:v>
      </x:c>
      <x:c r="E27" s="347" t="n">
        <x:v>14.030125159083475</x:v>
      </x:c>
      <x:c r="F27" s="347" t="n">
        <x:v>1.0110500592068736</x:v>
      </x:c>
      <x:c r="G27" s="347" t="n">
        <x:v>0.1502956938060111</x:v>
      </x:c>
      <x:c r="H27" s="140" t="str">
        <x:v>보류</x:v>
      </x:c>
      <x:c r="I27" s="140" t="n">
        <x:v>37</x:v>
      </x:c>
      <x:c r="J27" s="347" t="n">
        <x:v>22</x:v>
      </x:c>
      <x:c r="K27" s="347" t="n">
        <x:v>17.63721814203947</x:v>
      </x:c>
      <x:c r="L27" s="347" t="n">
        <x:v>1.2473622440242746</x:v>
      </x:c>
      <x:c r="M27" s="347" t="n">
        <x:v>0</x:v>
      </x:c>
      <x:c r="N27" s="347" t="n">
        <x:v>1.0311771797875031</x:v>
      </x:c>
      <x:c r="O27" s="347" t="n">
        <x:v>0</x:v>
      </x:c>
      <x:c r="P27" s="140" t="n">
        <x:v>0</x:v>
      </x:c>
      <x:c r="Q27" s="141" t="str"/>
    </x:row>
  </x:sheetData>
  <x:conditionalFormatting sqref="H2:H27">
    <x:cfRule type="expression" dxfId="0" priority="1">
      <x:formula>H2="출전"</x:formula>
    </x:cfRule>
    <x:cfRule type="expression" dxfId="1" priority="2">
      <x:formula>H2="보류"</x:formula>
    </x:cfRule>
  </x:conditionalFormatting>
  <x:conditionalFormatting sqref="O2:O27">
    <x:cfRule type="colorScale" priority="3">
      <x:colorScale>
        <x:cfvo type="min"/>
        <x:cfvo type="percentile" val="50"/>
        <x:cfvo type="max"/>
        <x:color rgb="FFFBE4ED"/>
        <x:color rgb="FFF8FBFD"/>
        <x:color rgb="FFDFF3E7"/>
      </x:colorScale>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6" max="6" width="24" hidden="0" customWidth="1"/>
    <x:col min="1" max="1" width="229.75" hidden="0" customWidth="1"/>
    <x:col min="2" max="2" width="23.75" hidden="0" customWidth="1"/>
    <x:col min="3" max="3" width="12" hidden="0" customWidth="1"/>
    <x:col min="4" max="4" width="42" hidden="0" customWidth="1"/>
    <x:col min="5" max="5" width="12" hidden="0" customWidth="1"/>
    <x:col min="7" max="7" width="24" hidden="0" customWidth="1"/>
    <x:col min="8" max="8" width="24" hidden="0" customWidth="1"/>
  </x:cols>
  <x:sheetData>
    <x:row r="1" ht="19.200000762939453" hidden="0" customHeight="1">
      <x:c r="A1" s="374" t="str">
        <x:v>고정 게이트 수식</x:v>
      </x:c>
      <x:c r="B1" s="374"/>
      <x:c r="C1" s="374"/>
      <x:c r="D1" s="374"/>
      <x:c r="E1" s="374"/>
      <x:c r="F1" s="374"/>
      <x:c r="G1" s="374"/>
      <x:c r="H1" s="374"/>
    </x:row>
    <x:row r="3">
      <x:c r="A3" s="111" t="str">
        <x:v>특징</x:v>
      </x:c>
      <x:c r="B3" s="112" t="str">
        <x:v>개발 평균</x:v>
      </x:c>
      <x:c r="C3" s="112" t="str">
        <x:v>개발 표준편차</x:v>
      </x:c>
      <x:c r="D3" s="112" t="str">
        <x:v>로지스틱 계수</x:v>
      </x:c>
      <x:c r="E3" s="112" t="str">
        <x:v>방향</x:v>
      </x:c>
      <x:c r="F3" s="113" t="str">
        <x:v>설명</x:v>
      </x:c>
    </x:row>
    <x:row r="4">
      <x:c r="A4" s="377" t="str">
        <x:v>최근20 지지상관</x:v>
      </x:c>
      <x:c r="B4" s="395" t="n">
        <x:v>0.5677104039794656</x:v>
      </x:c>
      <x:c r="C4" s="395" t="n">
        <x:v>0.09449024230239605</x:v>
      </x:c>
      <x:c r="D4" s="395" t="n">
        <x:v>1.3378061108025685</x:v>
      </x:c>
      <x:c r="E4" s="378" t="str">
        <x:v>높을수록 출전</x:v>
      </x:c>
      <x:c r="F4" s="379" t="str">
        <x:v>후보군이 최근 20회에서 반복된 번호 흐름과 얼마나 정렬되는지</x:v>
      </x:c>
    </x:row>
    <x:row r="5">
      <x:c r="A5" s="380" t="str">
        <x:v>후보합계 표준편차</x:v>
      </x:c>
      <x:c r="B5" s="396" t="n">
        <x:v>14.903094451383737</x:v>
      </x:c>
      <x:c r="C5" s="396" t="n">
        <x:v>2.622639676793093</x:v>
      </x:c>
      <x:c r="D5" s="396" t="n">
        <x:v>1.0130627109397743</x:v>
      </x:c>
      <x:c r="E5" s="381" t="str">
        <x:v>높을수록 출전</x:v>
      </x:c>
      <x:c r="F5" s="382" t="str">
        <x:v>35개 후보의 합계가 한 구조에 갇히지 않고 얼마나 넓게 퍼지는지</x:v>
      </x:c>
    </x:row>
    <x:row r="6">
      <x:c r="A6" s="383" t="str">
        <x:v>최근10 빈도 표준편차</x:v>
      </x:c>
      <x:c r="B6" s="397" t="n">
        <x:v>1.0200724409731194</x:v>
      </x:c>
      <x:c r="C6" s="397" t="n">
        <x:v>0.12250620687417221</x:v>
      </x:c>
      <x:c r="D6" s="397" t="n">
        <x:v>-0.33460024120158366</x:v>
      </x:c>
      <x:c r="E6" s="384" t="str">
        <x:v>낮을수록 출전</x:v>
      </x:c>
      <x:c r="F6" s="385" t="str">
        <x:v>최근 10회 번호 빈도가 일부 번호에 지나치게 몰렸는지</x:v>
      </x:c>
    </x:row>
    <x:row r="9">
      <x:c r="A9" s="111" t="str">
        <x:v>항목</x:v>
      </x:c>
      <x:c r="B9" s="113" t="str">
        <x:v>값</x:v>
      </x:c>
      <x:c r="D9" s="111" t="str">
        <x:v>계산식</x:v>
      </x:c>
      <x:c r="E9" s="112"/>
      <x:c r="F9" s="112"/>
      <x:c r="G9" s="112"/>
      <x:c r="H9" s="113"/>
    </x:row>
    <x:row r="10">
      <x:c r="A10" s="124" t="str">
        <x:v>로지스틱 절편</x:v>
      </x:c>
      <x:c r="B10" s="401" t="n">
        <x:v>-0.21920439886057946</x:v>
      </x:c>
      <x:c r="D10" s="424" t="str">
        <x:v>z1 = (최근20 지지상관 − 개발 평균) ÷ 개발 표준편차
z2 = (후보합계 표준편차 − 개발 평균) ÷ 개발 표준편차
z3 = (최근10 빈도 표준편차 − 개발 평균) ÷ 개발 표준편차
logit = -0.219204 + 1.337806×z1 + 1.013063×z2 -0.334600×z3
확률 = 1 ÷ (1 + EXP(−logit))</x:v>
      </x:c>
      <x:c r="E10" s="425"/>
      <x:c r="F10" s="425"/>
      <x:c r="G10" s="425"/>
      <x:c r="H10" s="426"/>
    </x:row>
    <x:row r="11">
      <x:c r="A11" s="127" t="str">
        <x:v>출전 문턱</x:v>
      </x:c>
      <x:c r="B11" s="402" t="n">
        <x:v>0.665</x:v>
      </x:c>
      <x:c r="D11" s="427"/>
      <x:c r="E11" s="428"/>
      <x:c r="F11" s="428"/>
      <x:c r="G11" s="428"/>
      <x:c r="H11" s="429"/>
    </x:row>
    <x:row r="12">
      <x:c r="A12" s="127" t="str">
        <x:v>보류 문턱</x:v>
      </x:c>
      <x:c r="B12" s="402" t="n">
        <x:v>0.3</x:v>
      </x:c>
      <x:c r="D12" s="427"/>
      <x:c r="E12" s="428"/>
      <x:c r="F12" s="428"/>
      <x:c r="G12" s="428"/>
      <x:c r="H12" s="429"/>
    </x:row>
    <x:row r="13">
      <x:c r="A13" s="127" t="str">
        <x:v>개발 활성 정의</x:v>
      </x:c>
      <x:c r="B13" s="129" t="str">
        <x:v>다음 20회 4개+ 티켓 2장 이상</x:v>
      </x:c>
      <x:c r="D13" s="427"/>
      <x:c r="E13" s="428"/>
      <x:c r="F13" s="428"/>
      <x:c r="G13" s="428"/>
      <x:c r="H13" s="429"/>
    </x:row>
    <x:row r="14">
      <x:c r="A14" s="130" t="str">
        <x:v>개발 블록</x:v>
      </x:c>
      <x:c r="B14" s="132" t="str">
        <x:v>1~16</x:v>
      </x:c>
      <x:c r="D14" s="430"/>
      <x:c r="E14" s="431"/>
      <x:c r="F14" s="431"/>
      <x:c r="G14" s="431"/>
      <x:c r="H14" s="432"/>
    </x:row>
    <x:row r="17">
      <x:c r="A17" s="34" t="str">
        <x:v>해석 주의</x:v>
      </x:c>
      <x:c r="B17" s="35"/>
      <x:c r="C17" s="35"/>
      <x:c r="D17" s="35"/>
      <x:c r="E17" s="35"/>
      <x:c r="F17" s="35"/>
      <x:c r="G17" s="35"/>
      <x:c r="H17" s="36"/>
    </x:row>
    <x:row r="18">
      <x:c r="A18" s="480" t="str">
        <x:v>이 확률은 실제 당첨 확률이 아니라 개발 블록에서 정의한 '활성 상태'와의 유사도를 나타냅니다. 출전 문턱은 개발 구간에서 거짓 출전 0개를 유지하면서 가장 많은 활성 블록을 남긴 값입니다. 독립 구간에서 결과가 좋았지만 출전 블록이 2개뿐이므로, 현재 단계에서는 확정 모델이 아닙니다.</x:v>
      </x:c>
      <x:c r="B18" s="481"/>
      <x:c r="C18" s="481"/>
      <x:c r="D18" s="481"/>
      <x:c r="E18" s="481"/>
      <x:c r="F18" s="481"/>
      <x:c r="G18" s="481"/>
      <x:c r="H18" s="482"/>
    </x:row>
    <x:row r="19">
      <x:c r="A19" s="483"/>
      <x:c r="B19" s="484"/>
      <x:c r="C19" s="484"/>
      <x:c r="D19" s="484"/>
      <x:c r="E19" s="484"/>
      <x:c r="F19" s="484"/>
      <x:c r="G19" s="484"/>
      <x:c r="H19" s="485"/>
    </x:row>
    <x:row r="20">
      <x:c r="A20" s="483"/>
      <x:c r="B20" s="484"/>
      <x:c r="C20" s="484"/>
      <x:c r="D20" s="484"/>
      <x:c r="E20" s="484"/>
      <x:c r="F20" s="484"/>
      <x:c r="G20" s="484"/>
      <x:c r="H20" s="485"/>
    </x:row>
    <x:row r="21">
      <x:c r="A21" s="486"/>
      <x:c r="B21" s="487"/>
      <x:c r="C21" s="487"/>
      <x:c r="D21" s="487"/>
      <x:c r="E21" s="487"/>
      <x:c r="F21" s="487"/>
      <x:c r="G21" s="487"/>
      <x:c r="H21" s="488"/>
    </x:row>
  </x:sheetData>
  <x:mergeCells>
    <x:mergeCell ref="A1:H1"/>
    <x:mergeCell ref="D9:H9"/>
    <x:mergeCell ref="D10:H14"/>
    <x:mergeCell ref="A17:H17"/>
    <x:mergeCell ref="A18:H2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78" hidden="0" customWidth="1"/>
  </x:cols>
  <x:sheetData>
    <x:row r="1" ht="30" customHeight="1">
      <x:c r="A1" s="374" t="str">
        <x:v>모델 상태 카드</x:v>
      </x:c>
      <x:c r="B1" s="374"/>
      <x:c r="C1" s="374"/>
      <x:c r="D1" s="374"/>
      <x:c r="E1" s="374"/>
      <x:c r="F1" s="374"/>
      <x:c r="G1" s="374"/>
      <x:c r="H1" s="374"/>
    </x:row>
    <x:row r="3">
      <x:c r="A3" s="34" t="str">
        <x:v>현재 판정</x:v>
      </x:c>
      <x:c r="B3" s="36"/>
      <x:c r="C3" s="521" t="str">
        <x:v>조건부 보존 · 선택적 출전 게이트 v0.1</x:v>
      </x:c>
      <x:c r="D3" s="522"/>
      <x:c r="E3" s="522"/>
      <x:c r="F3" s="522"/>
      <x:c r="G3" s="522"/>
      <x:c r="H3" s="523"/>
    </x:row>
    <x:row r="5">
      <x:c r="A5" s="34" t="str">
        <x:v>판정 관련 멘트</x:v>
      </x:c>
      <x:c r="B5" s="35"/>
      <x:c r="C5" s="35"/>
      <x:c r="D5" s="35"/>
      <x:c r="E5" s="35"/>
      <x:c r="F5" s="35"/>
      <x:c r="G5" s="35"/>
      <x:c r="H5" s="36"/>
    </x:row>
    <x:row r="6">
      <x:c r="A6" s="531" t="str">
        <x:v>개발 블록 1~16에서 고정한 게이트를 독립 블록 17~26에 적용한 결과, '출전'으로 판정된 블록은 2개뿐이었지만 4개 이상 적중 티켓 9장을 만들었습니다. 구조 동일 무작위 기대 2.09장의 4.30배이며, 상단확률은 0.035%였습니다. 반면 '보류' 블록은 무작위 기대 이하였습니다. 다만 독립 출전 표본이 2블록에 불과하므로 정식 채택은 보류하고, 원형 역방향 대각선 후보 생성기를 켜고 끄는 선택적 게이트로 조건부 보존합니다.</x:v>
      </x:c>
      <x:c r="B6" s="532"/>
      <x:c r="C6" s="532"/>
      <x:c r="D6" s="532"/>
      <x:c r="E6" s="532"/>
      <x:c r="F6" s="532"/>
      <x:c r="G6" s="532"/>
      <x:c r="H6" s="533"/>
    </x:row>
    <x:row r="7">
      <x:c r="A7" s="534"/>
      <x:c r="B7" s="535"/>
      <x:c r="C7" s="535"/>
      <x:c r="D7" s="535"/>
      <x:c r="E7" s="535"/>
      <x:c r="F7" s="535"/>
      <x:c r="G7" s="535"/>
      <x:c r="H7" s="536"/>
    </x:row>
    <x:row r="8">
      <x:c r="A8" s="534"/>
      <x:c r="B8" s="535"/>
      <x:c r="C8" s="535"/>
      <x:c r="D8" s="535"/>
      <x:c r="E8" s="535"/>
      <x:c r="F8" s="535"/>
      <x:c r="G8" s="535"/>
      <x:c r="H8" s="536"/>
    </x:row>
    <x:row r="9">
      <x:c r="A9" s="534"/>
      <x:c r="B9" s="535"/>
      <x:c r="C9" s="535"/>
      <x:c r="D9" s="535"/>
      <x:c r="E9" s="535"/>
      <x:c r="F9" s="535"/>
      <x:c r="G9" s="535"/>
      <x:c r="H9" s="536"/>
    </x:row>
    <x:row r="10">
      <x:c r="A10" s="534"/>
      <x:c r="B10" s="535"/>
      <x:c r="C10" s="535"/>
      <x:c r="D10" s="535"/>
      <x:c r="E10" s="535"/>
      <x:c r="F10" s="535"/>
      <x:c r="G10" s="535"/>
      <x:c r="H10" s="536"/>
    </x:row>
    <x:row r="11">
      <x:c r="A11" s="537"/>
      <x:c r="B11" s="538"/>
      <x:c r="C11" s="538"/>
      <x:c r="D11" s="538"/>
      <x:c r="E11" s="538"/>
      <x:c r="F11" s="538"/>
      <x:c r="G11" s="538"/>
      <x:c r="H11" s="539"/>
    </x:row>
    <x:row r="13" ht="15" hidden="0" customHeight="1">
      <x:c r="A13" s="111" t="str">
        <x:v>구분</x:v>
      </x:c>
      <x:c r="B13" s="113" t="str">
        <x:v>고정 규칙</x:v>
      </x:c>
    </x:row>
    <x:row r="14" ht="15" hidden="0" customHeight="1">
      <x:c r="A14" s="579" t="str">
        <x:v>모델 역할</x:v>
      </x:c>
      <x:c r="B14" s="556" t="str">
        <x:v>원형 역방향 순위 대각선 35개 후보의 20회 출전 여부를 먼저 판정</x:v>
      </x:c>
    </x:row>
    <x:row r="15" ht="15" hidden="0" customHeight="1">
      <x:c r="A15" s="580" t="str">
        <x:v>판정 구간</x:v>
      </x:c>
      <x:c r="B15" s="558" t="str">
        <x:v>45회 입력 블록이 완성되는 시점에 한 번 판정</x:v>
      </x:c>
    </x:row>
    <x:row r="16" ht="15" hidden="0" customHeight="1">
      <x:c r="A16" s="580" t="str">
        <x:v>출전</x:v>
      </x:c>
      <x:c r="B16" s="558" t="str">
        <x:v>게이트 확률 0.665 이상</x:v>
      </x:c>
    </x:row>
    <x:row r="17" ht="15" hidden="0" customHeight="1">
      <x:c r="A17" s="580" t="str">
        <x:v>관찰</x:v>
      </x:c>
      <x:c r="B17" s="558" t="str">
        <x:v>게이트 확률 0.30 이상 0.665 미만</x:v>
      </x:c>
    </x:row>
    <x:row r="18" ht="15" hidden="0" customHeight="1">
      <x:c r="A18" s="580" t="str">
        <x:v>보류</x:v>
      </x:c>
      <x:c r="B18" s="558" t="str">
        <x:v>게이트 확률 0.30 미만</x:v>
      </x:c>
    </x:row>
    <x:row r="19" ht="15" hidden="0" customHeight="1">
      <x:c r="A19" s="580" t="str">
        <x:v>공식 수명</x:v>
      </x:c>
      <x:c r="B19" s="558" t="str">
        <x:v>출전 블록만 생성 후 20회. 21회 이후는 공식 성적에서 제외</x:v>
      </x:c>
    </x:row>
    <x:row r="20" ht="15" hidden="0" customHeight="1">
      <x:c r="A20" s="580" t="str">
        <x:v>정상 실패</x:v>
      </x:c>
      <x:c r="B20" s="558" t="str">
        <x:v>출전 블록 한 개가 20회 동안 4개 적중 0회여도 정상 변동</x:v>
      </x:c>
    </x:row>
    <x:row r="21" ht="15" hidden="0" customHeight="1">
      <x:c r="A21" s="580" t="str">
        <x:v>조기 경고</x:v>
      </x:c>
      <x:c r="B21" s="558" t="str">
        <x:v>완결 출전 블록 4개 누적에서 4개+ 티켓이 무작위 기대의 1.20배 미만</x:v>
      </x:c>
    </x:row>
    <x:row r="22" ht="15" hidden="0" customHeight="1">
      <x:c r="A22" s="580" t="str">
        <x:v>생존</x:v>
      </x:c>
      <x:c r="B22" s="558" t="str">
        <x:v>완결 출전 블록 4개 이상에서 4개+ 티켓 1.30배 이상이며 관찰·보류보다 우위</x:v>
      </x:c>
    </x:row>
    <x:row r="23" ht="15" hidden="0" customHeight="1">
      <x:c r="A23" s="580" t="str">
        <x:v>정식 채택</x:v>
      </x:c>
      <x:c r="B23" s="558" t="str">
        <x:v>독립 출전 블록 6개 이상, 4개+ 티켓 1.30배 이상, 무작위 상단확률 10% 이하</x:v>
      </x:c>
    </x:row>
    <x:row r="24" ht="15" hidden="0" customHeight="1">
      <x:c r="A24" s="580" t="str">
        <x:v>폐기</x:v>
      </x:c>
      <x:c r="B24" s="558" t="str">
        <x:v>독립 출전 블록 6개 누적에서 4개+ 티켓이 무작위 이하이거나 보류군보다 성적이 낮음</x:v>
      </x:c>
    </x:row>
    <x:row r="25" ht="15" hidden="0" customHeight="1">
      <x:c r="A25" s="580" t="str">
        <x:v>비용 제한</x:v>
      </x:c>
      <x:c r="B25" s="558" t="str">
        <x:v>게이트는 블록만 거릅니다. 출전 시 35세트 문제는 남으므로 별도 5세트 압축 검증 필요</x:v>
      </x:c>
    </x:row>
    <x:row r="26" ht="15" hidden="0" customHeight="1">
      <x:c r="A26" s="581" t="str">
        <x:v>기록 원칙</x:v>
      </x:c>
      <x:c r="B26" s="560" t="str">
        <x:v>관찰·보류 블록도 그림자 예측을 보관해 사후 제외 여부를 검증</x:v>
      </x:c>
    </x:row>
  </x:sheetData>
  <x:mergeCells>
    <x:mergeCell ref="A1:H1"/>
    <x:mergeCell ref="A3:B3"/>
    <x:mergeCell ref="C3:H3"/>
    <x:mergeCell ref="A5:H5"/>
    <x:mergeCell ref="A6:H11"/>
  </x:mergeCells>
  <x:pageMargins left="0.7" right="0.7" top="0.75" bottom="0.75" header="0.3" footer="0.3"/>
</x:worksheet>
</file>

<file path=xl/worksheets/sheet6.xml><?xml version="1.0" encoding="utf-8"?>
<x:worksheet xmlns:x="http://schemas.openxmlformats.org/spreadsheetml/2006/main">
  <x:sheetFormatPr defaultRowHeight="15"/>
  <x:cols>
    <x:col min="1" max="1" width="4.25" hidden="0" customWidth="1"/>
    <x:col min="2" max="2" width="18" hidden="0" customWidth="1"/>
    <x:col min="3" max="3" width="18" hidden="0" customWidth="1"/>
    <x:col min="4" max="4" width="18" hidden="0" customWidth="1"/>
    <x:col min="5" max="5" width="18" hidden="0" customWidth="1"/>
    <x:col min="6" max="6" width="8.380000114440918" hidden="0" customWidth="1"/>
    <x:col min="7" max="7" width="8.380000114440918" hidden="0" customWidth="1"/>
    <x:col min="8" max="8" width="8.380000114440918" hidden="0" customWidth="1"/>
    <x:col min="9" max="9" width="8.380000114440918" hidden="0" customWidth="1"/>
  </x:cols>
  <x:sheetData>
    <x:row r="1">
      <x:c r="A1" s="111" t="str">
        <x:v>블록</x:v>
      </x:c>
      <x:c r="B1" s="112" t="str">
        <x:v>입력 회차</x:v>
      </x:c>
      <x:c r="C1" s="112" t="str">
        <x:v>게이트 확률</x:v>
      </x:c>
      <x:c r="D1" s="112" t="str">
        <x:v>판정</x:v>
      </x:c>
      <x:c r="E1" s="112" t="str">
        <x:v>관측 미래</x:v>
      </x:c>
      <x:c r="F1" s="112" t="str">
        <x:v>3개+ 관측</x:v>
      </x:c>
      <x:c r="G1" s="112" t="str">
        <x:v>3개+ 기대</x:v>
      </x:c>
      <x:c r="H1" s="112" t="str">
        <x:v>4개+ 관측</x:v>
      </x:c>
      <x:c r="I1" s="113" t="str">
        <x:v>4개+ 기대</x:v>
      </x:c>
    </x:row>
    <x:row r="2">
      <x:c r="A2" s="595" t="n">
        <x:v>27</x:v>
      </x:c>
      <x:c r="B2" s="596" t="str">
        <x:v>1171~1215</x:v>
      </x:c>
      <x:c r="C2" s="605" t="n">
        <x:v>0.23874728910406337</x:v>
      </x:c>
      <x:c r="D2" s="596" t="str">
        <x:v>보류</x:v>
      </x:c>
      <x:c r="E2" s="596" t="str">
        <x:v>1216~1233 (18회)</x:v>
      </x:c>
      <x:c r="F2" s="605" t="n">
        <x:v>7</x:v>
      </x:c>
      <x:c r="G2" s="605" t="n">
        <x:v>15.444482913569697</x:v>
      </x:c>
      <x:c r="H2" s="605" t="n">
        <x:v>1</x:v>
      </x:c>
      <x:c r="I2" s="607" t="n">
        <x:v>0.9029767736517594</x:v>
      </x:c>
    </x:row>
    <x:row r="5">
      <x:c r="A5" s="627" t="str">
        <x:v>27블록은 게이트 확률 0.239으로 '보류' 판정을 받았습니다. 현재 18회만 경과해 공식 판정에서는 제외합니다. 4개+ 티켓은 1장으로 기대 0.90장과 비슷했지만, 3개+ 건강 지표는 7장으로 기대 15.44장보다 낮았습니다.</x:v>
      </x:c>
      <x:c r="B5" s="628"/>
      <x:c r="C5" s="628"/>
      <x:c r="D5" s="628"/>
      <x:c r="E5" s="628"/>
      <x:c r="F5" s="628"/>
      <x:c r="G5" s="628"/>
      <x:c r="H5" s="628"/>
      <x:c r="I5" s="629"/>
    </x:row>
    <x:row r="6">
      <x:c r="A6" s="630"/>
      <x:c r="B6" s="631"/>
      <x:c r="C6" s="631"/>
      <x:c r="D6" s="631"/>
      <x:c r="E6" s="631"/>
      <x:c r="F6" s="631"/>
      <x:c r="G6" s="631"/>
      <x:c r="H6" s="631"/>
      <x:c r="I6" s="632"/>
    </x:row>
    <x:row r="7">
      <x:c r="A7" s="630"/>
      <x:c r="B7" s="631"/>
      <x:c r="C7" s="631"/>
      <x:c r="D7" s="631"/>
      <x:c r="E7" s="631"/>
      <x:c r="F7" s="631"/>
      <x:c r="G7" s="631"/>
      <x:c r="H7" s="631"/>
      <x:c r="I7" s="632"/>
    </x:row>
    <x:row r="8">
      <x:c r="A8" s="633"/>
      <x:c r="B8" s="634"/>
      <x:c r="C8" s="634"/>
      <x:c r="D8" s="634"/>
      <x:c r="E8" s="634"/>
      <x:c r="F8" s="634"/>
      <x:c r="G8" s="634"/>
      <x:c r="H8" s="634"/>
      <x:c r="I8" s="635"/>
    </x:row>
  </x:sheetData>
  <x:mergeCells>
    <x:mergeCell ref="A5:I8"/>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84" hidden="0" customWidth="1"/>
  </x:cols>
  <x:sheetData>
    <x:row r="1" ht="15" hidden="0" customHeight="1">
      <x:c r="A1" s="111" t="str">
        <x:v>항목</x:v>
      </x:c>
      <x:c r="B1" s="113" t="str">
        <x:v>내용</x:v>
      </x:c>
    </x:row>
    <x:row r="2" ht="26.399999618530273" hidden="0" customHeight="1">
      <x:c r="A2" s="663" t="str">
        <x:v>목표</x:v>
      </x:c>
      <x:c r="B2" s="675" t="str">
        <x:v>원형 역방향 순위 대각선 후보군이 다음 20회 동안 반복적으로 4개 적중을 만들 활성 블록인지 사전에 판정합니다.</x:v>
      </x:c>
    </x:row>
    <x:row r="3" ht="15" hidden="0" customHeight="1">
      <x:c r="A3" s="664" t="str">
        <x:v>개발·검증 분리</x:v>
      </x:c>
      <x:c r="B3" s="676" t="str">
        <x:v>블록 1~16으로 특징, 로지스틱 계수와 출전·보류 문턱을 고정하고 블록 17~26을 독립 검증했습니다.</x:v>
      </x:c>
    </x:row>
    <x:row r="4" ht="26.399999618530273" hidden="0" customHeight="1">
      <x:c r="A4" s="664" t="str">
        <x:v>미래 정보 제한</x:v>
      </x:c>
      <x:c r="B4" s="676" t="str">
        <x:v>게이트 특징은 해당 45회 입력 블록과 그 블록에서 생성된 후보군만 사용했습니다. 다음 20회 결과는 특징에 포함하지 않았습니다.</x:v>
      </x:c>
    </x:row>
    <x:row r="5" ht="15" hidden="0" customHeight="1">
      <x:c r="A5" s="664" t="str">
        <x:v>활성 학습값</x:v>
      </x:c>
      <x:c r="B5" s="676" t="str">
        <x:v>다음 20회 동안 4개 이상 적중 티켓이 2장 이상이면 활성으로 정의했습니다.</x:v>
      </x:c>
    </x:row>
    <x:row r="6" ht="26.399999618530273" hidden="0" customHeight="1">
      <x:c r="A6" s="664" t="str">
        <x:v>특징 수</x:v>
      </x:c>
      <x:c r="B6" s="676" t="str">
        <x:v>최근 20회 흐름과 후보 지지도의 상관, 후보 합계의 분산, 최근 10회 번호 빈도 분산의 3개만 사용했습니다.</x:v>
      </x:c>
    </x:row>
    <x:row r="7" ht="15" hidden="0" customHeight="1">
      <x:c r="A7" s="664" t="str">
        <x:v>판정 문턱</x:v>
      </x:c>
      <x:c r="B7" s="676" t="str">
        <x:v>출전 0.665 이상, 관찰 0.30~0.665 미만, 보류 0.30 미만입니다.</x:v>
      </x:c>
    </x:row>
    <x:row r="8" ht="26.399999618530273" hidden="0" customHeight="1">
      <x:c r="A8" s="664" t="str">
        <x:v>무작위 기준</x:v>
      </x:c>
      <x:c r="B8" s="676" t="str">
        <x:v>각 블록의 실제 세트 수와 세트 중복 구조를 유지한 무작위 당첨번호 30만 회로 4개 적중 티켓·회차 분포를 계산했습니다.</x:v>
      </x:c>
    </x:row>
    <x:row r="9" ht="15" hidden="0" customHeight="1">
      <x:c r="A9" s="664" t="str">
        <x:v>독립 결과</x:v>
      </x:c>
      <x:c r="B9" s="676" t="str">
        <x:v>출전 2블록에서 4개+ 티켓 9장, 기대 2.09장. 보류 5블록은 기대의 0.76배였습니다.</x:v>
      </x:c>
    </x:row>
    <x:row r="10" ht="15" hidden="0" customHeight="1">
      <x:c r="A10" s="664" t="str">
        <x:v>한계</x:v>
      </x:c>
      <x:c r="B10" s="676" t="str">
        <x:v>독립 출전 표본이 2블록뿐이고, 출전 블록 안의 35세트를 5세트로 압축하는 문제는 해결하지 않았습니다.</x:v>
      </x:c>
    </x:row>
    <x:row r="11" ht="15" hidden="0" customHeight="1">
      <x:c r="A11" s="665" t="str">
        <x:v>현재 판정</x:v>
      </x:c>
      <x:c r="B11" s="677" t="str">
        <x:v>선택적 출전 게이트 v0.1 조건부 보존. 신규 출전 블록을 더 모은 뒤 정식 채택 여부를 판단합니다.</x:v>
      </x:c>
    </x:row>
  </x:sheetData>
  <x:pageMargins left="0.7" right="0.7" top="0.75" bottom="0.75" header="0.3" footer="0.3"/>
</x:worksheet>
</file>