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307702eeb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승전 대시보드" sheetId="1" r:id="Rce086e1d23674cf6"/>
    <x:sheet xmlns:r="http://schemas.openxmlformats.org/officeDocument/2006/relationships" name="5모델 고정세트" sheetId="2" r:id="R167f1489cc3d40e8"/>
    <x:sheet xmlns:r="http://schemas.openxmlformats.org/officeDocument/2006/relationships" name="자동 비교 채점" sheetId="3" r:id="R73ba928988d3452d"/>
    <x:sheet xmlns:r="http://schemas.openxmlformats.org/officeDocument/2006/relationships" name="공정성·중복" sheetId="4" r:id="R5f4a7e3654cb489d"/>
    <x:sheet xmlns:r="http://schemas.openxmlformats.org/officeDocument/2006/relationships" name="봉인 규칙·해시" sheetId="5" r:id="Rc198400a4163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"/>
  </x:numFmts>
  <x:fonts count="11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6"/>
      <x:color rgb="FF0B1E2D"/>
      <x:name val="Carlito"/>
    </x:font>
    <x:font>
      <x:sz val="8"/>
      <x:color rgb="FF718795"/>
      <x:name val="Carlito"/>
    </x:font>
    <x:font>
      <x:b/>
      <x:sz val="11"/>
      <x:color rgb="FF24643C"/>
      <x:name val="Carlito"/>
    </x:font>
    <x:font>
      <x:sz val="11"/>
      <x:color rgb="FF718795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  <x:font>
      <x:b/>
      <x:sz val="11"/>
      <x:color rgb="FF8057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DFF3E7"/>
      </x:patternFill>
    </x:fill>
    <x:fill>
      <x:patternFill patternType="solid">
        <x:fgColor rgb="FFFFF1CF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3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1" fontId="0" fillId="0" borderId="22" xfId="0" applyNumberFormat="1" applyFont="1" applyFill="1" applyBorder="1" applyAlignment="1">
      <x:alignment horizontal="center"/>
    </x:xf>
    <x:xf numFmtId="202" fontId="0" fillId="0" borderId="9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 applyAlignment="1">
      <x:alignment horizontal="center"/>
    </x:xf>
    <x:xf numFmtId="202" fontId="0" fillId="0" borderId="17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22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200" fontId="0" fillId="6" borderId="9" xfId="0" applyNumberFormat="1" applyFont="1" applyFill="1" applyBorder="1" applyAlignment="1">
      <x:alignment horizontal="center"/>
    </x:xf>
    <x:xf numFmtId="201" fontId="0" fillId="6" borderId="9" xfId="0" applyNumberFormat="1" applyFont="1" applyFill="1" applyBorder="1" applyAlignment="1">
      <x:alignment horizontal="center"/>
    </x:xf>
    <x:xf numFmtId="202" fontId="0" fillId="6" borderId="9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200" fontId="6" fillId="6" borderId="9" xfId="0" applyNumberFormat="1" applyFont="1" applyFill="1" applyBorder="1" applyAlignment="1">
      <x:alignment horizontal="center"/>
    </x:xf>
    <x:xf numFmtId="201" fontId="6" fillId="6" borderId="9" xfId="0" applyNumberFormat="1" applyFont="1" applyFill="1" applyBorder="1" applyAlignment="1">
      <x:alignment horizontal="center"/>
    </x:xf>
    <x:xf numFmtId="202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200" fontId="6" fillId="6" borderId="3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202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0" fillId="6" borderId="16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200" fontId="0" fillId="6" borderId="17" xfId="0" applyNumberFormat="1" applyFont="1" applyFill="1" applyBorder="1" applyAlignment="1">
      <x:alignment horizontal="center"/>
    </x:xf>
    <x:xf numFmtId="201" fontId="0" fillId="6" borderId="17" xfId="0" applyNumberFormat="1" applyFont="1" applyFill="1" applyBorder="1" applyAlignment="1">
      <x:alignment horizontal="center"/>
    </x:xf>
    <x:xf numFmtId="202" fontId="0" fillId="6" borderId="17" xfId="0" applyNumberFormat="1" applyFont="1" applyFill="1" applyBorder="1" applyAlignment="1">
      <x:alignment horizontal="center"/>
    </x:xf>
    <x:xf numFmtId="0" fontId="0" fillId="6" borderId="18" xfId="0" applyNumberFormat="1" applyFont="1" applyFill="1" applyBorder="1" applyAlignment="1">
      <x:alignment horizontal="center"/>
    </x:xf>
    <x:xf numFmtId="0" fontId="6" fillId="6" borderId="16" xfId="0" applyNumberFormat="1" applyFont="1" applyFill="1" applyBorder="1" applyAlignment="1">
      <x:alignment horizontal="center"/>
    </x:xf>
    <x:xf numFmtId="0" fontId="6" fillId="6" borderId="17" xfId="0" applyNumberFormat="1" applyFont="1" applyFill="1" applyBorder="1" applyAlignment="1">
      <x:alignment horizontal="center"/>
    </x:xf>
    <x:xf numFmtId="200" fontId="6" fillId="6" borderId="17" xfId="0" applyNumberFormat="1" applyFont="1" applyFill="1" applyBorder="1" applyAlignment="1">
      <x:alignment horizontal="center"/>
    </x:xf>
    <x:xf numFmtId="201" fontId="6" fillId="6" borderId="17" xfId="0" applyNumberFormat="1" applyFont="1" applyFill="1" applyBorder="1" applyAlignment="1">
      <x:alignment horizontal="center"/>
    </x:xf>
    <x:xf numFmtId="202" fontId="6" fillId="6" borderId="17" xfId="0" applyNumberFormat="1" applyFont="1" applyFill="1" applyBorder="1" applyAlignment="1">
      <x:alignment horizontal="center"/>
    </x:xf>
    <x:xf numFmtId="0" fontId="6" fillId="6" borderId="18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200" fontId="6" fillId="6" borderId="6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2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200" fontId="0" fillId="3" borderId="14" xfId="0" applyNumberFormat="1" applyFont="1" applyFill="1" applyBorder="1" applyAlignment="1">
      <x:alignment horizontal="center"/>
    </x:xf>
    <x:xf numFmtId="201" fontId="0" fillId="3" borderId="14" xfId="0" applyNumberFormat="1" applyFont="1" applyFill="1" applyBorder="1" applyAlignment="1">
      <x:alignment horizontal="center"/>
    </x:xf>
    <x:xf numFmtId="202" fontId="0" fillId="3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7" fillId="3" borderId="13" xfId="0" applyNumberFormat="1" applyFont="1" applyFill="1" applyBorder="1" applyAlignment="1">
      <x:alignment horizontal="center"/>
    </x:xf>
    <x:xf numFmtId="0" fontId="7" fillId="3" borderId="14" xfId="0" applyNumberFormat="1" applyFont="1" applyFill="1" applyBorder="1" applyAlignment="1">
      <x:alignment horizontal="center"/>
    </x:xf>
    <x:xf numFmtId="200" fontId="7" fillId="3" borderId="14" xfId="0" applyNumberFormat="1" applyFont="1" applyFill="1" applyBorder="1" applyAlignment="1">
      <x:alignment horizontal="center"/>
    </x:xf>
    <x:xf numFmtId="201" fontId="7" fillId="3" borderId="14" xfId="0" applyNumberFormat="1" applyFont="1" applyFill="1" applyBorder="1" applyAlignment="1">
      <x:alignment horizontal="center"/>
    </x:xf>
    <x:xf numFmtId="202" fontId="7" fillId="3" borderId="14" xfId="0" applyNumberFormat="1" applyFont="1" applyFill="1" applyBorder="1" applyAlignment="1">
      <x:alignment horizontal="center"/>
    </x:xf>
    <x:xf numFmtId="0" fontId="7" fillId="3" borderId="15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/>
    </x:xf>
    <x:xf numFmtId="0" fontId="7" fillId="3" borderId="3" xfId="0" applyNumberFormat="1" applyFont="1" applyFill="1" applyBorder="1" applyAlignment="1">
      <x:alignment horizontal="center"/>
    </x:xf>
    <x:xf numFmtId="200" fontId="7" fillId="3" borderId="3" xfId="0" applyNumberFormat="1" applyFont="1" applyFill="1" applyBorder="1" applyAlignment="1">
      <x:alignment horizontal="center"/>
    </x:xf>
    <x:xf numFmtId="201" fontId="7" fillId="3" borderId="3" xfId="0" applyNumberFormat="1" applyFont="1" applyFill="1" applyBorder="1" applyAlignment="1">
      <x:alignment horizontal="center"/>
    </x:xf>
    <x:xf numFmtId="202" fontId="7" fillId="3" borderId="3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0" fillId="3" borderId="21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 applyAlignment="1">
      <x:alignment horizontal="center"/>
    </x:xf>
    <x:xf numFmtId="200" fontId="0" fillId="3" borderId="22" xfId="0" applyNumberFormat="1" applyFont="1" applyFill="1" applyBorder="1" applyAlignment="1">
      <x:alignment horizontal="center"/>
    </x:xf>
    <x:xf numFmtId="201" fontId="0" fillId="3" borderId="22" xfId="0" applyNumberFormat="1" applyFont="1" applyFill="1" applyBorder="1" applyAlignment="1">
      <x:alignment horizontal="center"/>
    </x:xf>
    <x:xf numFmtId="202" fontId="0" fillId="3" borderId="22" xfId="0" applyNumberFormat="1" applyFont="1" applyFill="1" applyBorder="1" applyAlignment="1">
      <x:alignment horizontal="center"/>
    </x:xf>
    <x:xf numFmtId="0" fontId="0" fillId="3" borderId="23" xfId="0" applyNumberFormat="1" applyFont="1" applyFill="1" applyBorder="1" applyAlignment="1">
      <x:alignment horizontal="center"/>
    </x:xf>
    <x:xf numFmtId="0" fontId="7" fillId="3" borderId="21" xfId="0" applyNumberFormat="1" applyFont="1" applyFill="1" applyBorder="1" applyAlignment="1">
      <x:alignment horizontal="center"/>
    </x:xf>
    <x:xf numFmtId="0" fontId="7" fillId="3" borderId="22" xfId="0" applyNumberFormat="1" applyFont="1" applyFill="1" applyBorder="1" applyAlignment="1">
      <x:alignment horizontal="center"/>
    </x:xf>
    <x:xf numFmtId="200" fontId="7" fillId="3" borderId="22" xfId="0" applyNumberFormat="1" applyFont="1" applyFill="1" applyBorder="1" applyAlignment="1">
      <x:alignment horizontal="center"/>
    </x:xf>
    <x:xf numFmtId="201" fontId="7" fillId="3" borderId="22" xfId="0" applyNumberFormat="1" applyFont="1" applyFill="1" applyBorder="1" applyAlignment="1">
      <x:alignment horizontal="center"/>
    </x:xf>
    <x:xf numFmtId="202" fontId="7" fillId="3" borderId="22" xfId="0" applyNumberFormat="1" applyFont="1" applyFill="1" applyBorder="1" applyAlignment="1">
      <x:alignment horizontal="center"/>
    </x:xf>
    <x:xf numFmtId="0" fontId="7" fillId="3" borderId="2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/>
    </x:xf>
    <x:xf numFmtId="0" fontId="7" fillId="3" borderId="6" xfId="0" applyNumberFormat="1" applyFont="1" applyFill="1" applyBorder="1" applyAlignment="1">
      <x:alignment horizontal="center"/>
    </x:xf>
    <x:xf numFmtId="200" fontId="7" fillId="3" borderId="6" xfId="0" applyNumberFormat="1" applyFont="1" applyFill="1" applyBorder="1" applyAlignment="1">
      <x:alignment horizontal="center"/>
    </x:xf>
    <x:xf numFmtId="201" fontId="7" fillId="3" borderId="6" xfId="0" applyNumberFormat="1" applyFont="1" applyFill="1" applyBorder="1" applyAlignment="1">
      <x:alignment horizontal="center"/>
    </x:xf>
    <x:xf numFmtId="202" fontId="7" fillId="3" borderId="6" xfId="0" applyNumberFormat="1" applyFont="1" applyFill="1" applyBorder="1" applyAlignment="1">
      <x:alignment horizontal="center"/>
    </x:xf>
    <x:xf numFmtId="0" fontId="7" fillId="3" borderId="7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8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13" xfId="0" applyNumberFormat="1" applyFont="1" applyFill="1" applyBorder="1"/>
    <x:xf numFmtId="0" fontId="8" fillId="3" borderId="15" xfId="0" applyNumberFormat="1" applyFont="1" applyFill="1" applyBorder="1"/>
    <x:xf numFmtId="0" fontId="8" fillId="3" borderId="1" xfId="0" applyNumberFormat="1" applyFont="1" applyFill="1" applyBorder="1"/>
    <x:xf numFmtId="0" fontId="8" fillId="3" borderId="16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3" xfId="0" applyNumberFormat="1" applyFont="1" applyFill="1" applyBorder="1"/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8" xfId="0" applyNumberFormat="1" applyFont="1" applyFill="1" applyBorder="1"/>
    <x:xf numFmtId="0" fontId="9" fillId="5" borderId="19" xfId="0" applyNumberFormat="1" applyFont="1" applyFill="1" applyBorder="1"/>
    <x:xf numFmtId="0" fontId="9" fillId="5" borderId="20" xfId="0" applyNumberFormat="1" applyFont="1" applyFill="1" applyBorder="1"/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8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8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21" xfId="0" applyNumberFormat="1" applyFont="1" applyFill="1" applyBorder="1"/>
    <x:xf numFmtId="0" fontId="10" fillId="7" borderId="22" xfId="0" applyNumberFormat="1" applyFont="1" applyFill="1" applyBorder="1"/>
    <x:xf numFmtId="0" fontId="10" fillId="7" borderId="23" xfId="0" applyNumberFormat="1" applyFont="1" applyFill="1" applyBorder="1"/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21" xfId="0" applyNumberFormat="1" applyFont="1" applyFill="1" applyBorder="1" applyAlignment="1">
      <x:alignment wrapText="1"/>
    </x:xf>
    <x:xf numFmtId="0" fontId="10" fillId="7" borderId="22" xfId="0" applyNumberFormat="1" applyFont="1" applyFill="1" applyBorder="1" applyAlignment="1">
      <x:alignment wrapText="1"/>
    </x:xf>
    <x:xf numFmtId="0" fontId="10" fillId="7" borderId="23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  <x:xf numFmtId="0" fontId="10" fillId="7" borderId="21" xfId="0" applyNumberFormat="1" applyFont="1" applyFill="1" applyBorder="1" applyAlignment="1">
      <x:alignment vertical="center" wrapText="1"/>
    </x:xf>
    <x:xf numFmtId="0" fontId="10" fillId="7" borderId="22" xfId="0" applyNumberFormat="1" applyFont="1" applyFill="1" applyBorder="1" applyAlignment="1">
      <x:alignment vertical="center" wrapText="1"/>
    </x:xf>
    <x:xf numFmtId="0" fontId="10" fillId="7" borderId="23" xfId="0" applyNumberFormat="1" applyFont="1" applyFill="1" applyBorder="1" applyAlignment="1">
      <x:alignment vertical="center" wrapText="1"/>
    </x:xf>
    <x:xf numFmtId="0" fontId="8" fillId="3" borderId="24" xfId="0" applyNumberFormat="1" applyFont="1" applyFill="1" applyBorder="1"/>
    <x:xf numFmtId="0" fontId="8" fillId="3" borderId="25" xfId="0" applyNumberFormat="1" applyFont="1" applyFill="1" applyBorder="1"/>
    <x:xf numFmtId="0" fontId="8" fillId="3" borderId="26" xfId="0" applyNumberFormat="1" applyFont="1" applyFill="1" applyBorder="1"/>
    <x:xf numFmtId="0" fontId="8" fillId="3" borderId="27" xfId="0" applyNumberFormat="1" applyFont="1" applyFill="1" applyBorder="1"/>
    <x:xf numFmtId="0" fontId="8" fillId="3" borderId="28" xfId="0" applyNumberFormat="1" applyFont="1" applyFill="1" applyBorder="1"/>
    <x:xf numFmtId="0" fontId="8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0B1E2D"/>
      </x:font>
      <x:fill>
        <x:patternFill patternType="solid">
          <x:bgColor rgb="FFE6F1F8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405648d4d49bd" /><Relationship Type="http://schemas.openxmlformats.org/officeDocument/2006/relationships/theme" Target="/xl/theme/theme1.xml" Id="R705c4812f0e74784" /><Relationship Type="http://schemas.openxmlformats.org/officeDocument/2006/relationships/sharedStrings" Target="/xl/sharedStrings.xml" Id="Rf4d78ce88c194082" /><Relationship Type="http://schemas.openxmlformats.org/officeDocument/2006/relationships/worksheet" Target="/xl/worksheets/sheet1.xml" Id="Rce086e1d23674cf6" /><Relationship Type="http://schemas.openxmlformats.org/officeDocument/2006/relationships/worksheet" Target="/xl/worksheets/sheet2.xml" Id="R167f1489cc3d40e8" /><Relationship Type="http://schemas.openxmlformats.org/officeDocument/2006/relationships/worksheet" Target="/xl/worksheets/sheet3.xml" Id="R73ba928988d3452d" /><Relationship Type="http://schemas.openxmlformats.org/officeDocument/2006/relationships/worksheet" Target="/xl/worksheets/sheet4.xml" Id="R5f4a7e3654cb489d" /><Relationship Type="http://schemas.openxmlformats.org/officeDocument/2006/relationships/worksheet" Target="/xl/worksheets/sheet5.xml" Id="Rc198400a416349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ff5e7b07794b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포트폴리오 구조 비교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고유번호</c:v>
          </c:tx>
          <c:cat>
            <c:strRef>
              <c:f>'결승전 대시보드'!$A$29:$A$33</c:f>
              <c:strCache>
                <c:ptCount val="0"/>
              </c:strCache>
            </c:strRef>
          </c:cat>
          <c:val>
            <c:numRef>
              <c:f>'결승전 대시보드'!$B$29:$B$33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평균 겹침</c:v>
          </c:tx>
          <c:cat>
            <c:strRef>
              <c:f>'결승전 대시보드'!$A$29:$A$33</c:f>
              <c:strCache>
                <c:ptCount val="0"/>
              </c:strCache>
            </c:strRef>
          </c:cat>
          <c:val>
            <c:numRef>
              <c:f>'결승전 대시보드'!$C$29:$C$33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ff5e7b07794b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0ebb00a7d048d1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새 기준 15차 · 1234회 전 5모델 그림자 결승전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0" customHeight="1">
      <x:c r="A2" s="15" t="str">
        <x:v>다섯 방식 모두 같은 1181~1225회 입력과 같은 원형 역방향 대각선 후보 풀을 사용합니다. 1234~1245회 결과만 공식 비교 점수에 포함하며, 1226~1233회 결과는 비교군 선택이나 순위에 사용하지 않습니다.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비교 모델</x:v>
      </x:c>
      <x:c r="B4" s="35"/>
      <x:c r="C4" s="36"/>
      <x:c r="D4" s="34" t="str">
        <x:v>동일 후보 풀</x:v>
      </x:c>
      <x:c r="E4" s="35"/>
      <x:c r="F4" s="36"/>
      <x:c r="G4" s="34" t="str">
        <x:v>공식 비교 구간</x:v>
      </x:c>
      <x:c r="H4" s="35"/>
      <x:c r="I4" s="36"/>
      <x:c r="J4" s="34" t="str">
        <x:v>비용 조건</x:v>
      </x:c>
      <x:c r="K4" s="35"/>
      <x:c r="L4" s="36"/>
    </x:row>
    <x:row r="5">
      <x:c r="A5" s="56" t="n">
        <x:v>5</x:v>
      </x:c>
      <x:c r="B5" s="57"/>
      <x:c r="C5" s="58"/>
      <x:c r="D5" s="56" t="n">
        <x:v>35</x:v>
      </x:c>
      <x:c r="E5" s="57"/>
      <x:c r="F5" s="58"/>
      <x:c r="G5" s="56" t="str">
        <x:v>1234~1245</x:v>
      </x:c>
      <x:c r="H5" s="57"/>
      <x:c r="I5" s="58"/>
      <x:c r="J5" s="56" t="str">
        <x:v>각 5세트</x:v>
      </x:c>
      <x:c r="K5" s="57"/>
      <x:c r="L5" s="58"/>
    </x:row>
    <x:row r="6">
      <x:c r="A6" s="74" t="str">
        <x:v>공식 1 · 그림자 3 · 대조 1</x:v>
      </x:c>
      <x:c r="B6" s="75"/>
      <x:c r="C6" s="76"/>
      <x:c r="D6" s="74" t="str">
        <x:v>1181~1225회 입력</x:v>
      </x:c>
      <x:c r="E6" s="75"/>
      <x:c r="F6" s="76"/>
      <x:c r="G6" s="74" t="str">
        <x:v>12회</x:v>
      </x:c>
      <x:c r="H6" s="75"/>
      <x:c r="I6" s="76"/>
      <x:c r="J6" s="74" t="str">
        <x:v>모두 동일</x:v>
      </x:c>
      <x:c r="K6" s="75"/>
      <x:c r="L6" s="76"/>
    </x:row>
    <x:row r="7">
      <x:c r="A7" s="34" t="str">
        <x:v>현재 공식 모델</x:v>
      </x:c>
      <x:c r="B7" s="35"/>
      <x:c r="C7" s="36"/>
      <x:c r="D7" s="34" t="str">
        <x:v>승자 판정</x:v>
      </x:c>
      <x:c r="E7" s="35"/>
      <x:c r="F7" s="36"/>
      <x:c r="G7" s="34" t="str">
        <x:v>사후 교체</x:v>
      </x:c>
      <x:c r="H7" s="35"/>
      <x:c r="I7" s="36"/>
      <x:c r="J7" s="34" t="str">
        <x:v>봉인 해시</x:v>
      </x:c>
      <x:c r="K7" s="35"/>
      <x:c r="L7" s="36"/>
    </x:row>
    <x:row r="8">
      <x:c r="A8" s="56" t="str">
        <x:v>순수 3수</x:v>
      </x:c>
      <x:c r="B8" s="57"/>
      <x:c r="C8" s="58"/>
      <x:c r="D8" s="56" t="str">
        <x:v>등급 우선</x:v>
      </x:c>
      <x:c r="E8" s="57"/>
      <x:c r="F8" s="58"/>
      <x:c r="G8" s="56" t="str">
        <x:v>금지</x:v>
      </x:c>
      <x:c r="H8" s="57"/>
      <x:c r="I8" s="58"/>
      <x:c r="J8" s="56" t="str">
        <x:v>39b25ddbbf0f</x:v>
      </x:c>
      <x:c r="K8" s="57"/>
      <x:c r="L8" s="58"/>
    </x:row>
    <x:row r="9">
      <x:c r="A9" s="74" t="str">
        <x:v>1245회까지 변경 없음</x:v>
      </x:c>
      <x:c r="B9" s="75"/>
      <x:c r="C9" s="76"/>
      <x:c r="D9" s="74" t="str">
        <x:v>5개+ → 4개+ → 3개+</x:v>
      </x:c>
      <x:c r="E9" s="75"/>
      <x:c r="F9" s="76"/>
      <x:c r="G9" s="74" t="str">
        <x:v>1245회 전 공식 교체 없음</x:v>
      </x:c>
      <x:c r="H9" s="75"/>
      <x:c r="I9" s="76"/>
      <x:c r="J9" s="74" t="str">
        <x:v>SHA-256 앞 12자리</x:v>
      </x:c>
      <x:c r="K9" s="75"/>
      <x:c r="L9" s="76"/>
    </x:row>
    <x:row r="11">
      <x:c r="A11" s="34" t="str">
        <x:v>봉인된 비교 포트폴리오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91" t="str">
        <x:v>모델</x:v>
      </x:c>
      <x:c r="B12" s="92" t="str">
        <x:v>구분</x:v>
      </x:c>
      <x:c r="C12" s="92" t="str">
        <x:v>고유번호</x:v>
      </x:c>
      <x:c r="D12" s="92" t="str">
        <x:v>커버율</x:v>
      </x:c>
      <x:c r="E12" s="92" t="str">
        <x:v>평균 겹침</x:v>
      </x:c>
      <x:c r="F12" s="92" t="str">
        <x:v>최대 겹침</x:v>
      </x:c>
      <x:c r="G12" s="92" t="str">
        <x:v>최대 노출</x:v>
      </x:c>
      <x:c r="H12" s="92" t="str">
        <x:v>집중번호</x:v>
      </x:c>
      <x:c r="I12" s="92" t="str">
        <x:v>평균 합계</x:v>
      </x:c>
      <x:c r="J12" s="93" t="str">
        <x:v>역할</x:v>
      </x:c>
    </x:row>
    <x:row r="13">
      <x:c r="A13" s="169" t="str">
        <x:v>공식 순수 3수</x:v>
      </x:c>
      <x:c r="B13" s="170" t="str">
        <x:v>공식</x:v>
      </x:c>
      <x:c r="C13" s="170" t="n">
        <x:v>28</x:v>
      </x:c>
      <x:c r="D13" s="171" t="n">
        <x:v>0.6222222222222222</x:v>
      </x:c>
      <x:c r="E13" s="172" t="n">
        <x:v>0.3</x:v>
      </x:c>
      <x:c r="F13" s="170" t="n">
        <x:v>1</x:v>
      </x:c>
      <x:c r="G13" s="170" t="n">
        <x:v>3</x:v>
      </x:c>
      <x:c r="H13" s="170" t="str">
        <x:v>20</x:v>
      </x:c>
      <x:c r="I13" s="173" t="n">
        <x:v>148</x:v>
      </x:c>
      <x:c r="J13" s="174" t="str">
        <x:v>공식 운영</x:v>
      </x:c>
    </x:row>
    <x:row r="14">
      <x:c r="A14" s="116" t="str">
        <x:v>혼합 2T+3Q</x:v>
      </x:c>
      <x:c r="B14" s="117" t="str">
        <x:v>그림자</x:v>
      </x:c>
      <x:c r="C14" s="117" t="n">
        <x:v>29</x:v>
      </x:c>
      <x:c r="D14" s="140" t="n">
        <x:v>0.6444444444444445</x:v>
      </x:c>
      <x:c r="E14" s="146" t="n">
        <x:v>0.1</x:v>
      </x:c>
      <x:c r="F14" s="117" t="n">
        <x:v>1</x:v>
      </x:c>
      <x:c r="G14" s="117" t="n">
        <x:v>2</x:v>
      </x:c>
      <x:c r="H14" s="117" t="str">
        <x:v>20</x:v>
      </x:c>
      <x:c r="I14" s="152" t="n">
        <x:v>142.6</x:v>
      </x:c>
      <x:c r="J14" s="118" t="str">
        <x:v>그림자 비교</x:v>
      </x:c>
    </x:row>
    <x:row r="15">
      <x:c r="A15" s="116" t="str">
        <x:v>순수 4수</x:v>
      </x:c>
      <x:c r="B15" s="117" t="str">
        <x:v>그림자</x:v>
      </x:c>
      <x:c r="C15" s="117" t="n">
        <x:v>29</x:v>
      </x:c>
      <x:c r="D15" s="140" t="n">
        <x:v>0.6444444444444445</x:v>
      </x:c>
      <x:c r="E15" s="146" t="n">
        <x:v>0.1</x:v>
      </x:c>
      <x:c r="F15" s="117" t="n">
        <x:v>1</x:v>
      </x:c>
      <x:c r="G15" s="117" t="n">
        <x:v>2</x:v>
      </x:c>
      <x:c r="H15" s="117" t="str">
        <x:v>20</x:v>
      </x:c>
      <x:c r="I15" s="152" t="n">
        <x:v>139.4</x:v>
      </x:c>
      <x:c r="J15" s="118" t="str">
        <x:v>돌파형 그림자</x:v>
      </x:c>
    </x:row>
    <x:row r="16">
      <x:c r="A16" s="116" t="str">
        <x:v>번호 다양성</x:v>
      </x:c>
      <x:c r="B16" s="117" t="str">
        <x:v>그림자</x:v>
      </x:c>
      <x:c r="C16" s="117" t="n">
        <x:v>29</x:v>
      </x:c>
      <x:c r="D16" s="140" t="n">
        <x:v>0.6444444444444445</x:v>
      </x:c>
      <x:c r="E16" s="146" t="n">
        <x:v>0.1</x:v>
      </x:c>
      <x:c r="F16" s="117" t="n">
        <x:v>1</x:v>
      </x:c>
      <x:c r="G16" s="117" t="n">
        <x:v>2</x:v>
      </x:c>
      <x:c r="H16" s="117" t="str">
        <x:v>27</x:v>
      </x:c>
      <x:c r="I16" s="152" t="n">
        <x:v>129.6</x:v>
      </x:c>
      <x:c r="J16" s="118" t="str">
        <x:v>구조 대조</x:v>
      </x:c>
    </x:row>
    <x:row r="17">
      <x:c r="A17" s="205" t="str">
        <x:v>고정 무작위</x:v>
      </x:c>
      <x:c r="B17" s="206" t="str">
        <x:v>대조</x:v>
      </x:c>
      <x:c r="C17" s="206" t="n">
        <x:v>25</x:v>
      </x:c>
      <x:c r="D17" s="207" t="n">
        <x:v>0.5555555555555556</x:v>
      </x:c>
      <x:c r="E17" s="208" t="n">
        <x:v>0.5</x:v>
      </x:c>
      <x:c r="F17" s="206" t="n">
        <x:v>2</x:v>
      </x:c>
      <x:c r="G17" s="206" t="n">
        <x:v>2</x:v>
      </x:c>
      <x:c r="H17" s="206" t="str">
        <x:v>24 · 26 · 27 · 36 · 45</x:v>
      </x:c>
      <x:c r="I17" s="209" t="n">
        <x:v>149</x:v>
      </x:c>
      <x:c r="J17" s="210" t="str">
        <x:v>무작위 대조</x:v>
      </x:c>
    </x:row>
    <x:row r="20">
      <x:c r="A20" s="34" t="str">
        <x:v>사전 판정 규칙</x:v>
      </x:c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6"/>
    </x:row>
    <x:row r="21">
      <x:c r="A21" s="230" t="str">
        <x:v>비교 시작</x:v>
      </x:c>
      <x:c r="B21" s="231"/>
      <x:c r="C21" s="252" t="str">
        <x:v>1234회부터입니다. 1226~1233회의 과거 경과 성적은 결승전 점수에 넣지 않습니다.</x:v>
      </x:c>
      <x:c r="D21" s="253"/>
      <x:c r="E21" s="253"/>
      <x:c r="F21" s="253"/>
      <x:c r="G21" s="253"/>
      <x:c r="H21" s="253"/>
      <x:c r="I21" s="253"/>
      <x:c r="J21" s="253"/>
      <x:c r="K21" s="253"/>
      <x:c r="L21" s="254"/>
    </x:row>
    <x:row r="22">
      <x:c r="A22" s="232" t="str">
        <x:v>최우선</x:v>
      </x:c>
      <x:c r="B22" s="233"/>
      <x:c r="C22" s="255" t="str">
        <x:v>한 모델만 5개 이상 적중을 만들면 그 모델이 우선합니다.</x:v>
      </x:c>
      <x:c r="D22" s="256"/>
      <x:c r="E22" s="256"/>
      <x:c r="F22" s="256"/>
      <x:c r="G22" s="256"/>
      <x:c r="H22" s="256"/>
      <x:c r="I22" s="256"/>
      <x:c r="J22" s="256"/>
      <x:c r="K22" s="256"/>
      <x:c r="L22" s="257"/>
    </x:row>
    <x:row r="23">
      <x:c r="A23" s="232" t="str">
        <x:v>동일 최고등급</x:v>
      </x:c>
      <x:c r="B23" s="233"/>
      <x:c r="C23" s="255" t="str">
        <x:v>5개+ 티켓 수 → 4개+ 티켓 수 → 4개+ 고유 당첨회차 → 3개+ 티켓 수 순으로 비교합니다.</x:v>
      </x:c>
      <x:c r="D23" s="256"/>
      <x:c r="E23" s="256"/>
      <x:c r="F23" s="256"/>
      <x:c r="G23" s="256"/>
      <x:c r="H23" s="256"/>
      <x:c r="I23" s="256"/>
      <x:c r="J23" s="256"/>
      <x:c r="K23" s="256"/>
      <x:c r="L23" s="257"/>
    </x:row>
    <x:row r="24">
      <x:c r="A24" s="232" t="str">
        <x:v>공식 모델 보호</x:v>
      </x:c>
      <x:c r="B24" s="233"/>
      <x:c r="C24" s="255" t="str">
        <x:v>그림자 모델이 앞서더라도 1245회 전에는 공식 순수 3수 세트를 교체하지 않습니다.</x:v>
      </x:c>
      <x:c r="D24" s="256"/>
      <x:c r="E24" s="256"/>
      <x:c r="F24" s="256"/>
      <x:c r="G24" s="256"/>
      <x:c r="H24" s="256"/>
      <x:c r="I24" s="256"/>
      <x:c r="J24" s="256"/>
      <x:c r="K24" s="256"/>
      <x:c r="L24" s="257"/>
    </x:row>
    <x:row r="25">
      <x:c r="A25" s="234" t="str">
        <x:v>모델 승격</x:v>
      </x:c>
      <x:c r="B25" s="235"/>
      <x:c r="C25" s="258" t="str">
        <x:v>그림자 모델은 1234~1245회뿐 아니라 다음 완전 신규 창에서도 다시 앞서야 주력 교체 후보가 됩니다.</x:v>
      </x:c>
      <x:c r="D25" s="259"/>
      <x:c r="E25" s="259"/>
      <x:c r="F25" s="259"/>
      <x:c r="G25" s="259"/>
      <x:c r="H25" s="259"/>
      <x:c r="I25" s="259"/>
      <x:c r="J25" s="259"/>
      <x:c r="K25" s="259"/>
      <x:c r="L25" s="260"/>
    </x:row>
    <x:row r="28">
      <x:c r="A28" t="str">
        <x:v>모델</x:v>
      </x:c>
      <x:c r="B28" t="str">
        <x:v>고유번호</x:v>
      </x:c>
      <x:c r="C28" t="str">
        <x:v>평균 겹침</x:v>
      </x:c>
    </x:row>
    <x:row r="29">
      <x:c r="A29" t="str">
        <x:v>공식 순수 3수</x:v>
      </x:c>
      <x:c r="B29" t="n">
        <x:v>28</x:v>
      </x:c>
      <x:c r="C29" t="n">
        <x:v>0.3</x:v>
      </x:c>
    </x:row>
    <x:row r="30">
      <x:c r="A30" t="str">
        <x:v>혼합 2T+3Q</x:v>
      </x:c>
      <x:c r="B30" t="n">
        <x:v>29</x:v>
      </x:c>
      <x:c r="C30" t="n">
        <x:v>0.1</x:v>
      </x:c>
    </x:row>
    <x:row r="31">
      <x:c r="A31" t="str">
        <x:v>순수 4수</x:v>
      </x:c>
      <x:c r="B31" t="n">
        <x:v>29</x:v>
      </x:c>
      <x:c r="C31" t="n">
        <x:v>0.1</x:v>
      </x:c>
    </x:row>
    <x:row r="32">
      <x:c r="A32" t="str">
        <x:v>번호 다양성</x:v>
      </x:c>
      <x:c r="B32" t="n">
        <x:v>29</x:v>
      </x:c>
      <x:c r="C32" t="n">
        <x:v>0.1</x:v>
      </x:c>
    </x:row>
    <x:row r="33">
      <x:c r="A33" t="str">
        <x:v>고정 무작위</x:v>
      </x:c>
      <x:c r="B33" t="n">
        <x:v>25</x:v>
      </x:c>
      <x:c r="C33" t="n">
        <x:v>0.5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20:L20"/>
  </x:mergeCells>
  <x:pageMargins left="0.7" right="0.7" top="0.75" bottom="0.75" header="0.3" footer="0.3"/>
  <x:drawing xmlns:r="http://schemas.openxmlformats.org/officeDocument/2006/relationships" r:id="Rb00ebb00a7d048d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.25" hidden="0" customWidth="1"/>
    <x:col min="5" max="5" width="10.130000114440918" hidden="0" customWidth="1"/>
    <x:col min="6" max="6" width="10.130000114440918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4.25" hidden="0" customWidth="1"/>
    <x:col min="14" max="14" width="4.25" hidden="0" customWidth="1"/>
    <x:col min="15" max="15" width="6" hidden="0" customWidth="1"/>
  </x:cols>
  <x:sheetData>
    <x:row r="1">
      <x:c r="A1" s="91" t="str">
        <x:v>모델 코드</x:v>
      </x:c>
      <x:c r="B1" s="92" t="str">
        <x:v>모델</x:v>
      </x:c>
      <x:c r="C1" s="92" t="str">
        <x:v>구분</x:v>
      </x:c>
      <x:c r="D1" s="92" t="str">
        <x:v>순위</x:v>
      </x:c>
      <x:c r="E1" s="92" t="str">
        <x:v>후보 인덱스</x:v>
      </x:c>
      <x:c r="F1" s="92" t="str">
        <x:v>대각선 시작</x:v>
      </x:c>
      <x:c r="G1" s="92" t="str">
        <x:v>번호1</x:v>
      </x:c>
      <x:c r="H1" s="92" t="str">
        <x:v>번호2</x:v>
      </x:c>
      <x:c r="I1" s="92" t="str">
        <x:v>번호3</x:v>
      </x:c>
      <x:c r="J1" s="92" t="str">
        <x:v>번호4</x:v>
      </x:c>
      <x:c r="K1" s="92" t="str">
        <x:v>번호5</x:v>
      </x:c>
      <x:c r="L1" s="92" t="str">
        <x:v>번호6</x:v>
      </x:c>
      <x:c r="M1" s="92" t="str">
        <x:v>합계</x:v>
      </x:c>
      <x:c r="N1" s="92" t="str">
        <x:v>홀수</x:v>
      </x:c>
      <x:c r="O1" s="93" t="str">
        <x:v>저구간</x:v>
      </x:c>
    </x:row>
    <x:row r="2">
      <x:c r="A2" s="279" t="str">
        <x:v>OFFICIAL_T5</x:v>
      </x:c>
      <x:c r="B2" s="280" t="str">
        <x:v>공식 순수 3수</x:v>
      </x:c>
      <x:c r="C2" s="280" t="str">
        <x:v>공식</x:v>
      </x:c>
      <x:c r="D2" s="280" t="n">
        <x:v>1</x:v>
      </x:c>
      <x:c r="E2" s="280" t="n">
        <x:v>7</x:v>
      </x:c>
      <x:c r="F2" s="280" t="n">
        <x:v>11</x:v>
      </x:c>
      <x:c r="G2" s="280" t="n">
        <x:v>1</x:v>
      </x:c>
      <x:c r="H2" s="280" t="n">
        <x:v>9</x:v>
      </x:c>
      <x:c r="I2" s="280" t="n">
        <x:v>19</x:v>
      </x:c>
      <x:c r="J2" s="280" t="n">
        <x:v>28</x:v>
      </x:c>
      <x:c r="K2" s="280" t="n">
        <x:v>29</x:v>
      </x:c>
      <x:c r="L2" s="280" t="n">
        <x:v>37</x:v>
      </x:c>
      <x:c r="M2" s="280" t="n">
        <x:v>123</x:v>
      </x:c>
      <x:c r="N2" s="280" t="n">
        <x:v>5</x:v>
      </x:c>
      <x:c r="O2" s="281" t="n">
        <x:v>3</x:v>
      </x:c>
    </x:row>
    <x:row r="3">
      <x:c r="A3" s="282" t="str">
        <x:v>OFFICIAL_T5</x:v>
      </x:c>
      <x:c r="B3" s="283" t="str">
        <x:v>공식 순수 3수</x:v>
      </x:c>
      <x:c r="C3" s="283" t="str">
        <x:v>공식</x:v>
      </x:c>
      <x:c r="D3" s="283" t="n">
        <x:v>2</x:v>
      </x:c>
      <x:c r="E3" s="283" t="n">
        <x:v>34</x:v>
      </x:c>
      <x:c r="F3" s="283" t="n">
        <x:v>45</x:v>
      </x:c>
      <x:c r="G3" s="283" t="n">
        <x:v>8</x:v>
      </x:c>
      <x:c r="H3" s="283" t="n">
        <x:v>18</x:v>
      </x:c>
      <x:c r="I3" s="283" t="n">
        <x:v>20</x:v>
      </x:c>
      <x:c r="J3" s="283" t="n">
        <x:v>22</x:v>
      </x:c>
      <x:c r="K3" s="283" t="n">
        <x:v>30</x:v>
      </x:c>
      <x:c r="L3" s="283" t="n">
        <x:v>43</x:v>
      </x:c>
      <x:c r="M3" s="283" t="n">
        <x:v>141</x:v>
      </x:c>
      <x:c r="N3" s="283" t="n">
        <x:v>1</x:v>
      </x:c>
      <x:c r="O3" s="284" t="n">
        <x:v>4</x:v>
      </x:c>
    </x:row>
    <x:row r="4">
      <x:c r="A4" s="282" t="str">
        <x:v>OFFICIAL_T5</x:v>
      </x:c>
      <x:c r="B4" s="283" t="str">
        <x:v>공식 순수 3수</x:v>
      </x:c>
      <x:c r="C4" s="283" t="str">
        <x:v>공식</x:v>
      </x:c>
      <x:c r="D4" s="283" t="n">
        <x:v>3</x:v>
      </x:c>
      <x:c r="E4" s="283" t="n">
        <x:v>22</x:v>
      </x:c>
      <x:c r="F4" s="283" t="n">
        <x:v>29</x:v>
      </x:c>
      <x:c r="G4" s="283" t="n">
        <x:v>2</x:v>
      </x:c>
      <x:c r="H4" s="283" t="n">
        <x:v>24</x:v>
      </x:c>
      <x:c r="I4" s="283" t="n">
        <x:v>26</x:v>
      </x:c>
      <x:c r="J4" s="283" t="n">
        <x:v>27</x:v>
      </x:c>
      <x:c r="K4" s="283" t="n">
        <x:v>31</x:v>
      </x:c>
      <x:c r="L4" s="283" t="n">
        <x:v>44</x:v>
      </x:c>
      <x:c r="M4" s="283" t="n">
        <x:v>154</x:v>
      </x:c>
      <x:c r="N4" s="283" t="n">
        <x:v>2</x:v>
      </x:c>
      <x:c r="O4" s="284" t="n">
        <x:v>1</x:v>
      </x:c>
    </x:row>
    <x:row r="5">
      <x:c r="A5" s="282" t="str">
        <x:v>OFFICIAL_T5</x:v>
      </x:c>
      <x:c r="B5" s="283" t="str">
        <x:v>공식 순수 3수</x:v>
      </x:c>
      <x:c r="C5" s="283" t="str">
        <x:v>공식</x:v>
      </x:c>
      <x:c r="D5" s="283" t="n">
        <x:v>4</x:v>
      </x:c>
      <x:c r="E5" s="283" t="n">
        <x:v>23</x:v>
      </x:c>
      <x:c r="F5" s="283" t="n">
        <x:v>31</x:v>
      </x:c>
      <x:c r="G5" s="283" t="n">
        <x:v>7</x:v>
      </x:c>
      <x:c r="H5" s="283" t="n">
        <x:v>20</x:v>
      </x:c>
      <x:c r="I5" s="283" t="n">
        <x:v>23</x:v>
      </x:c>
      <x:c r="J5" s="283" t="n">
        <x:v>36</x:v>
      </x:c>
      <x:c r="K5" s="283" t="n">
        <x:v>38</x:v>
      </x:c>
      <x:c r="L5" s="283" t="n">
        <x:v>42</x:v>
      </x:c>
      <x:c r="M5" s="283" t="n">
        <x:v>166</x:v>
      </x:c>
      <x:c r="N5" s="283" t="n">
        <x:v>2</x:v>
      </x:c>
      <x:c r="O5" s="284" t="n">
        <x:v>2</x:v>
      </x:c>
    </x:row>
    <x:row r="6">
      <x:c r="A6" s="282" t="str">
        <x:v>OFFICIAL_T5</x:v>
      </x:c>
      <x:c r="B6" s="283" t="str">
        <x:v>공식 순수 3수</x:v>
      </x:c>
      <x:c r="C6" s="283" t="str">
        <x:v>공식</x:v>
      </x:c>
      <x:c r="D6" s="283" t="n">
        <x:v>5</x:v>
      </x:c>
      <x:c r="E6" s="283" t="n">
        <x:v>2</x:v>
      </x:c>
      <x:c r="F6" s="283" t="n">
        <x:v>4</x:v>
      </x:c>
      <x:c r="G6" s="283" t="n">
        <x:v>14</x:v>
      </x:c>
      <x:c r="H6" s="283" t="n">
        <x:v>15</x:v>
      </x:c>
      <x:c r="I6" s="283" t="n">
        <x:v>20</x:v>
      </x:c>
      <x:c r="J6" s="283" t="n">
        <x:v>21</x:v>
      </x:c>
      <x:c r="K6" s="283" t="n">
        <x:v>41</x:v>
      </x:c>
      <x:c r="L6" s="283" t="n">
        <x:v>45</x:v>
      </x:c>
      <x:c r="M6" s="283" t="n">
        <x:v>156</x:v>
      </x:c>
      <x:c r="N6" s="283" t="n">
        <x:v>4</x:v>
      </x:c>
      <x:c r="O6" s="284" t="n">
        <x:v>4</x:v>
      </x:c>
    </x:row>
    <x:row r="7">
      <x:c r="A7" s="282" t="str">
        <x:v>SHADOW_MIX</x:v>
      </x:c>
      <x:c r="B7" s="283" t="str">
        <x:v>혼합 2T+3Q</x:v>
      </x:c>
      <x:c r="C7" s="283" t="str">
        <x:v>그림자</x:v>
      </x:c>
      <x:c r="D7" s="283" t="n">
        <x:v>1</x:v>
      </x:c>
      <x:c r="E7" s="283" t="n">
        <x:v>7</x:v>
      </x:c>
      <x:c r="F7" s="283" t="n">
        <x:v>11</x:v>
      </x:c>
      <x:c r="G7" s="283" t="n">
        <x:v>1</x:v>
      </x:c>
      <x:c r="H7" s="283" t="n">
        <x:v>9</x:v>
      </x:c>
      <x:c r="I7" s="283" t="n">
        <x:v>19</x:v>
      </x:c>
      <x:c r="J7" s="283" t="n">
        <x:v>28</x:v>
      </x:c>
      <x:c r="K7" s="283" t="n">
        <x:v>29</x:v>
      </x:c>
      <x:c r="L7" s="283" t="n">
        <x:v>37</x:v>
      </x:c>
      <x:c r="M7" s="283" t="n">
        <x:v>123</x:v>
      </x:c>
      <x:c r="N7" s="283" t="n">
        <x:v>5</x:v>
      </x:c>
      <x:c r="O7" s="284" t="n">
        <x:v>3</x:v>
      </x:c>
    </x:row>
    <x:row r="8">
      <x:c r="A8" s="282" t="str">
        <x:v>SHADOW_MIX</x:v>
      </x:c>
      <x:c r="B8" s="283" t="str">
        <x:v>혼합 2T+3Q</x:v>
      </x:c>
      <x:c r="C8" s="283" t="str">
        <x:v>그림자</x:v>
      </x:c>
      <x:c r="D8" s="283" t="n">
        <x:v>2</x:v>
      </x:c>
      <x:c r="E8" s="283" t="n">
        <x:v>34</x:v>
      </x:c>
      <x:c r="F8" s="283" t="n">
        <x:v>45</x:v>
      </x:c>
      <x:c r="G8" s="283" t="n">
        <x:v>8</x:v>
      </x:c>
      <x:c r="H8" s="283" t="n">
        <x:v>18</x:v>
      </x:c>
      <x:c r="I8" s="283" t="n">
        <x:v>20</x:v>
      </x:c>
      <x:c r="J8" s="283" t="n">
        <x:v>22</x:v>
      </x:c>
      <x:c r="K8" s="283" t="n">
        <x:v>30</x:v>
      </x:c>
      <x:c r="L8" s="283" t="n">
        <x:v>43</x:v>
      </x:c>
      <x:c r="M8" s="283" t="n">
        <x:v>141</x:v>
      </x:c>
      <x:c r="N8" s="283" t="n">
        <x:v>1</x:v>
      </x:c>
      <x:c r="O8" s="284" t="n">
        <x:v>4</x:v>
      </x:c>
    </x:row>
    <x:row r="9">
      <x:c r="A9" s="282" t="str">
        <x:v>SHADOW_MIX</x:v>
      </x:c>
      <x:c r="B9" s="283" t="str">
        <x:v>혼합 2T+3Q</x:v>
      </x:c>
      <x:c r="C9" s="283" t="str">
        <x:v>그림자</x:v>
      </x:c>
      <x:c r="D9" s="283" t="n">
        <x:v>3</x:v>
      </x:c>
      <x:c r="E9" s="283" t="n">
        <x:v>22</x:v>
      </x:c>
      <x:c r="F9" s="283" t="n">
        <x:v>29</x:v>
      </x:c>
      <x:c r="G9" s="283" t="n">
        <x:v>2</x:v>
      </x:c>
      <x:c r="H9" s="283" t="n">
        <x:v>24</x:v>
      </x:c>
      <x:c r="I9" s="283" t="n">
        <x:v>26</x:v>
      </x:c>
      <x:c r="J9" s="283" t="n">
        <x:v>27</x:v>
      </x:c>
      <x:c r="K9" s="283" t="n">
        <x:v>31</x:v>
      </x:c>
      <x:c r="L9" s="283" t="n">
        <x:v>44</x:v>
      </x:c>
      <x:c r="M9" s="283" t="n">
        <x:v>154</x:v>
      </x:c>
      <x:c r="N9" s="283" t="n">
        <x:v>2</x:v>
      </x:c>
      <x:c r="O9" s="284" t="n">
        <x:v>1</x:v>
      </x:c>
    </x:row>
    <x:row r="10">
      <x:c r="A10" s="282" t="str">
        <x:v>SHADOW_MIX</x:v>
      </x:c>
      <x:c r="B10" s="283" t="str">
        <x:v>혼합 2T+3Q</x:v>
      </x:c>
      <x:c r="C10" s="283" t="str">
        <x:v>그림자</x:v>
      </x:c>
      <x:c r="D10" s="283" t="n">
        <x:v>4</x:v>
      </x:c>
      <x:c r="E10" s="283" t="n">
        <x:v>3</x:v>
      </x:c>
      <x:c r="F10" s="283" t="n">
        <x:v>5</x:v>
      </x:c>
      <x:c r="G10" s="283" t="n">
        <x:v>6</x:v>
      </x:c>
      <x:c r="H10" s="283" t="n">
        <x:v>16</x:v>
      </x:c>
      <x:c r="I10" s="283" t="n">
        <x:v>17</x:v>
      </x:c>
      <x:c r="J10" s="283" t="n">
        <x:v>25</x:v>
      </x:c>
      <x:c r="K10" s="283" t="n">
        <x:v>33</x:v>
      </x:c>
      <x:c r="L10" s="283" t="n">
        <x:v>42</x:v>
      </x:c>
      <x:c r="M10" s="283" t="n">
        <x:v>139</x:v>
      </x:c>
      <x:c r="N10" s="283" t="n">
        <x:v>3</x:v>
      </x:c>
      <x:c r="O10" s="284" t="n">
        <x:v>3</x:v>
      </x:c>
    </x:row>
    <x:row r="11">
      <x:c r="A11" s="282" t="str">
        <x:v>SHADOW_MIX</x:v>
      </x:c>
      <x:c r="B11" s="283" t="str">
        <x:v>혼합 2T+3Q</x:v>
      </x:c>
      <x:c r="C11" s="283" t="str">
        <x:v>그림자</x:v>
      </x:c>
      <x:c r="D11" s="283" t="n">
        <x:v>5</x:v>
      </x:c>
      <x:c r="E11" s="283" t="n">
        <x:v>2</x:v>
      </x:c>
      <x:c r="F11" s="283" t="n">
        <x:v>4</x:v>
      </x:c>
      <x:c r="G11" s="283" t="n">
        <x:v>14</x:v>
      </x:c>
      <x:c r="H11" s="283" t="n">
        <x:v>15</x:v>
      </x:c>
      <x:c r="I11" s="283" t="n">
        <x:v>20</x:v>
      </x:c>
      <x:c r="J11" s="283" t="n">
        <x:v>21</x:v>
      </x:c>
      <x:c r="K11" s="283" t="n">
        <x:v>41</x:v>
      </x:c>
      <x:c r="L11" s="283" t="n">
        <x:v>45</x:v>
      </x:c>
      <x:c r="M11" s="283" t="n">
        <x:v>156</x:v>
      </x:c>
      <x:c r="N11" s="283" t="n">
        <x:v>4</x:v>
      </x:c>
      <x:c r="O11" s="284" t="n">
        <x:v>4</x:v>
      </x:c>
    </x:row>
    <x:row r="12">
      <x:c r="A12" s="282" t="str">
        <x:v>SHADOW_Q5</x:v>
      </x:c>
      <x:c r="B12" s="283" t="str">
        <x:v>순수 4수</x:v>
      </x:c>
      <x:c r="C12" s="283" t="str">
        <x:v>그림자</x:v>
      </x:c>
      <x:c r="D12" s="283" t="n">
        <x:v>1</x:v>
      </x:c>
      <x:c r="E12" s="283" t="n">
        <x:v>7</x:v>
      </x:c>
      <x:c r="F12" s="283" t="n">
        <x:v>11</x:v>
      </x:c>
      <x:c r="G12" s="283" t="n">
        <x:v>1</x:v>
      </x:c>
      <x:c r="H12" s="283" t="n">
        <x:v>9</x:v>
      </x:c>
      <x:c r="I12" s="283" t="n">
        <x:v>19</x:v>
      </x:c>
      <x:c r="J12" s="283" t="n">
        <x:v>28</x:v>
      </x:c>
      <x:c r="K12" s="283" t="n">
        <x:v>29</x:v>
      </x:c>
      <x:c r="L12" s="283" t="n">
        <x:v>37</x:v>
      </x:c>
      <x:c r="M12" s="283" t="n">
        <x:v>123</x:v>
      </x:c>
      <x:c r="N12" s="283" t="n">
        <x:v>5</x:v>
      </x:c>
      <x:c r="O12" s="284" t="n">
        <x:v>3</x:v>
      </x:c>
    </x:row>
    <x:row r="13">
      <x:c r="A13" s="282" t="str">
        <x:v>SHADOW_Q5</x:v>
      </x:c>
      <x:c r="B13" s="283" t="str">
        <x:v>순수 4수</x:v>
      </x:c>
      <x:c r="C13" s="283" t="str">
        <x:v>그림자</x:v>
      </x:c>
      <x:c r="D13" s="283" t="n">
        <x:v>2</x:v>
      </x:c>
      <x:c r="E13" s="283" t="n">
        <x:v>4</x:v>
      </x:c>
      <x:c r="F13" s="283" t="n">
        <x:v>7</x:v>
      </x:c>
      <x:c r="G13" s="283" t="n">
        <x:v>5</x:v>
      </x:c>
      <x:c r="H13" s="283" t="n">
        <x:v>8</x:v>
      </x:c>
      <x:c r="I13" s="283" t="n">
        <x:v>22</x:v>
      </x:c>
      <x:c r="J13" s="283" t="n">
        <x:v>25</x:v>
      </x:c>
      <x:c r="K13" s="283" t="n">
        <x:v>27</x:v>
      </x:c>
      <x:c r="L13" s="283" t="n">
        <x:v>31</x:v>
      </x:c>
      <x:c r="M13" s="283" t="n">
        <x:v>118</x:v>
      </x:c>
      <x:c r="N13" s="283" t="n">
        <x:v>4</x:v>
      </x:c>
      <x:c r="O13" s="284" t="n">
        <x:v>3</x:v>
      </x:c>
    </x:row>
    <x:row r="14">
      <x:c r="A14" s="282" t="str">
        <x:v>SHADOW_Q5</x:v>
      </x:c>
      <x:c r="B14" s="283" t="str">
        <x:v>순수 4수</x:v>
      </x:c>
      <x:c r="C14" s="283" t="str">
        <x:v>그림자</x:v>
      </x:c>
      <x:c r="D14" s="283" t="n">
        <x:v>3</x:v>
      </x:c>
      <x:c r="E14" s="283" t="n">
        <x:v>2</x:v>
      </x:c>
      <x:c r="F14" s="283" t="n">
        <x:v>4</x:v>
      </x:c>
      <x:c r="G14" s="283" t="n">
        <x:v>14</x:v>
      </x:c>
      <x:c r="H14" s="283" t="n">
        <x:v>15</x:v>
      </x:c>
      <x:c r="I14" s="283" t="n">
        <x:v>20</x:v>
      </x:c>
      <x:c r="J14" s="283" t="n">
        <x:v>21</x:v>
      </x:c>
      <x:c r="K14" s="283" t="n">
        <x:v>41</x:v>
      </x:c>
      <x:c r="L14" s="283" t="n">
        <x:v>45</x:v>
      </x:c>
      <x:c r="M14" s="283" t="n">
        <x:v>156</x:v>
      </x:c>
      <x:c r="N14" s="283" t="n">
        <x:v>4</x:v>
      </x:c>
      <x:c r="O14" s="284" t="n">
        <x:v>4</x:v>
      </x:c>
    </x:row>
    <x:row r="15">
      <x:c r="A15" s="282" t="str">
        <x:v>SHADOW_Q5</x:v>
      </x:c>
      <x:c r="B15" s="283" t="str">
        <x:v>순수 4수</x:v>
      </x:c>
      <x:c r="C15" s="283" t="str">
        <x:v>그림자</x:v>
      </x:c>
      <x:c r="D15" s="283" t="n">
        <x:v>4</x:v>
      </x:c>
      <x:c r="E15" s="283" t="n">
        <x:v>20</x:v>
      </x:c>
      <x:c r="F15" s="283" t="n">
        <x:v>27</x:v>
      </x:c>
      <x:c r="G15" s="283" t="n">
        <x:v>3</x:v>
      </x:c>
      <x:c r="H15" s="283" t="n">
        <x:v>10</x:v>
      </x:c>
      <x:c r="I15" s="283" t="n">
        <x:v>16</x:v>
      </x:c>
      <x:c r="J15" s="283" t="n">
        <x:v>30</x:v>
      </x:c>
      <x:c r="K15" s="283" t="n">
        <x:v>35</x:v>
      </x:c>
      <x:c r="L15" s="283" t="n">
        <x:v>40</x:v>
      </x:c>
      <x:c r="M15" s="283" t="n">
        <x:v>134</x:v>
      </x:c>
      <x:c r="N15" s="283" t="n">
        <x:v>2</x:v>
      </x:c>
      <x:c r="O15" s="284" t="n">
        <x:v>3</x:v>
      </x:c>
    </x:row>
    <x:row r="16">
      <x:c r="A16" s="282" t="str">
        <x:v>SHADOW_Q5</x:v>
      </x:c>
      <x:c r="B16" s="283" t="str">
        <x:v>순수 4수</x:v>
      </x:c>
      <x:c r="C16" s="283" t="str">
        <x:v>그림자</x:v>
      </x:c>
      <x:c r="D16" s="283" t="n">
        <x:v>5</x:v>
      </x:c>
      <x:c r="E16" s="283" t="n">
        <x:v>23</x:v>
      </x:c>
      <x:c r="F16" s="283" t="n">
        <x:v>31</x:v>
      </x:c>
      <x:c r="G16" s="283" t="n">
        <x:v>7</x:v>
      </x:c>
      <x:c r="H16" s="283" t="n">
        <x:v>20</x:v>
      </x:c>
      <x:c r="I16" s="283" t="n">
        <x:v>23</x:v>
      </x:c>
      <x:c r="J16" s="283" t="n">
        <x:v>36</x:v>
      </x:c>
      <x:c r="K16" s="283" t="n">
        <x:v>38</x:v>
      </x:c>
      <x:c r="L16" s="283" t="n">
        <x:v>42</x:v>
      </x:c>
      <x:c r="M16" s="283" t="n">
        <x:v>166</x:v>
      </x:c>
      <x:c r="N16" s="283" t="n">
        <x:v>2</x:v>
      </x:c>
      <x:c r="O16" s="284" t="n">
        <x:v>2</x:v>
      </x:c>
    </x:row>
    <x:row r="17">
      <x:c r="A17" s="282" t="str">
        <x:v>SHADOW_DIV</x:v>
      </x:c>
      <x:c r="B17" s="283" t="str">
        <x:v>번호 다양성</x:v>
      </x:c>
      <x:c r="C17" s="283" t="str">
        <x:v>그림자</x:v>
      </x:c>
      <x:c r="D17" s="283" t="n">
        <x:v>1</x:v>
      </x:c>
      <x:c r="E17" s="283" t="n">
        <x:v>0</x:v>
      </x:c>
      <x:c r="F17" s="283" t="n">
        <x:v>2</x:v>
      </x:c>
      <x:c r="G17" s="283" t="n">
        <x:v>1</x:v>
      </x:c>
      <x:c r="H17" s="283" t="n">
        <x:v>10</x:v>
      </x:c>
      <x:c r="I17" s="283" t="n">
        <x:v>19</x:v>
      </x:c>
      <x:c r="J17" s="283" t="n">
        <x:v>27</x:v>
      </x:c>
      <x:c r="K17" s="283" t="n">
        <x:v>33</x:v>
      </x:c>
      <x:c r="L17" s="283" t="n">
        <x:v>41</x:v>
      </x:c>
      <x:c r="M17" s="283" t="n">
        <x:v>131</x:v>
      </x:c>
      <x:c r="N17" s="283" t="n">
        <x:v>5</x:v>
      </x:c>
      <x:c r="O17" s="284" t="n">
        <x:v>3</x:v>
      </x:c>
    </x:row>
    <x:row r="18">
      <x:c r="A18" s="282" t="str">
        <x:v>SHADOW_DIV</x:v>
      </x:c>
      <x:c r="B18" s="283" t="str">
        <x:v>번호 다양성</x:v>
      </x:c>
      <x:c r="C18" s="283" t="str">
        <x:v>그림자</x:v>
      </x:c>
      <x:c r="D18" s="283" t="n">
        <x:v>2</x:v>
      </x:c>
      <x:c r="E18" s="283" t="n">
        <x:v>1</x:v>
      </x:c>
      <x:c r="F18" s="283" t="n">
        <x:v>3</x:v>
      </x:c>
      <x:c r="G18" s="283" t="n">
        <x:v>4</x:v>
      </x:c>
      <x:c r="H18" s="283" t="n">
        <x:v>13</x:v>
      </x:c>
      <x:c r="I18" s="283" t="n">
        <x:v>14</x:v>
      </x:c>
      <x:c r="J18" s="283" t="n">
        <x:v>25</x:v>
      </x:c>
      <x:c r="K18" s="283" t="n">
        <x:v>39</x:v>
      </x:c>
      <x:c r="L18" s="283" t="n">
        <x:v>44</x:v>
      </x:c>
      <x:c r="M18" s="283" t="n">
        <x:v>139</x:v>
      </x:c>
      <x:c r="N18" s="283" t="n">
        <x:v>3</x:v>
      </x:c>
      <x:c r="O18" s="284" t="n">
        <x:v>3</x:v>
      </x:c>
    </x:row>
    <x:row r="19">
      <x:c r="A19" s="282" t="str">
        <x:v>SHADOW_DIV</x:v>
      </x:c>
      <x:c r="B19" s="283" t="str">
        <x:v>번호 다양성</x:v>
      </x:c>
      <x:c r="C19" s="283" t="str">
        <x:v>그림자</x:v>
      </x:c>
      <x:c r="D19" s="283" t="n">
        <x:v>3</x:v>
      </x:c>
      <x:c r="E19" s="283" t="n">
        <x:v>10</x:v>
      </x:c>
      <x:c r="F19" s="283" t="n">
        <x:v>14</x:v>
      </x:c>
      <x:c r="G19" s="283" t="n">
        <x:v>3</x:v>
      </x:c>
      <x:c r="H19" s="283" t="n">
        <x:v>9</x:v>
      </x:c>
      <x:c r="I19" s="283" t="n">
        <x:v>12</x:v>
      </x:c>
      <x:c r="J19" s="283" t="n">
        <x:v>23</x:v>
      </x:c>
      <x:c r="K19" s="283" t="n">
        <x:v>26</x:v>
      </x:c>
      <x:c r="L19" s="283" t="n">
        <x:v>38</x:v>
      </x:c>
      <x:c r="M19" s="283" t="n">
        <x:v>111</x:v>
      </x:c>
      <x:c r="N19" s="283" t="n">
        <x:v>3</x:v>
      </x:c>
      <x:c r="O19" s="284" t="n">
        <x:v>3</x:v>
      </x:c>
    </x:row>
    <x:row r="20">
      <x:c r="A20" s="282" t="str">
        <x:v>SHADOW_DIV</x:v>
      </x:c>
      <x:c r="B20" s="283" t="str">
        <x:v>번호 다양성</x:v>
      </x:c>
      <x:c r="C20" s="283" t="str">
        <x:v>그림자</x:v>
      </x:c>
      <x:c r="D20" s="283" t="n">
        <x:v>4</x:v>
      </x:c>
      <x:c r="E20" s="283" t="n">
        <x:v>12</x:v>
      </x:c>
      <x:c r="F20" s="283" t="n">
        <x:v>19</x:v>
      </x:c>
      <x:c r="G20" s="283" t="n">
        <x:v>7</x:v>
      </x:c>
      <x:c r="H20" s="283" t="n">
        <x:v>16</x:v>
      </x:c>
      <x:c r="I20" s="283" t="n">
        <x:v>29</x:v>
      </x:c>
      <x:c r="J20" s="283" t="n">
        <x:v>30</x:v>
      </x:c>
      <x:c r="K20" s="283" t="n">
        <x:v>34</x:v>
      </x:c>
      <x:c r="L20" s="283" t="n">
        <x:v>37</x:v>
      </x:c>
      <x:c r="M20" s="283" t="n">
        <x:v>153</x:v>
      </x:c>
      <x:c r="N20" s="283" t="n">
        <x:v>3</x:v>
      </x:c>
      <x:c r="O20" s="284" t="n">
        <x:v>2</x:v>
      </x:c>
    </x:row>
    <x:row r="21">
      <x:c r="A21" s="282" t="str">
        <x:v>SHADOW_DIV</x:v>
      </x:c>
      <x:c r="B21" s="283" t="str">
        <x:v>번호 다양성</x:v>
      </x:c>
      <x:c r="C21" s="283" t="str">
        <x:v>그림자</x:v>
      </x:c>
      <x:c r="D21" s="283" t="n">
        <x:v>5</x:v>
      </x:c>
      <x:c r="E21" s="283" t="n">
        <x:v>17</x:v>
      </x:c>
      <x:c r="F21" s="283" t="n">
        <x:v>24</x:v>
      </x:c>
      <x:c r="G21" s="283" t="n">
        <x:v>6</x:v>
      </x:c>
      <x:c r="H21" s="283" t="n">
        <x:v>8</x:v>
      </x:c>
      <x:c r="I21" s="283" t="n">
        <x:v>20</x:v>
      </x:c>
      <x:c r="J21" s="283" t="n">
        <x:v>21</x:v>
      </x:c>
      <x:c r="K21" s="283" t="n">
        <x:v>27</x:v>
      </x:c>
      <x:c r="L21" s="283" t="n">
        <x:v>32</x:v>
      </x:c>
      <x:c r="M21" s="283" t="n">
        <x:v>114</x:v>
      </x:c>
      <x:c r="N21" s="283" t="n">
        <x:v>2</x:v>
      </x:c>
      <x:c r="O21" s="284" t="n">
        <x:v>4</x:v>
      </x:c>
    </x:row>
    <x:row r="22">
      <x:c r="A22" s="282" t="str">
        <x:v>CONTROL_RANDOM</x:v>
      </x:c>
      <x:c r="B22" s="283" t="str">
        <x:v>고정 무작위</x:v>
      </x:c>
      <x:c r="C22" s="283" t="str">
        <x:v>대조</x:v>
      </x:c>
      <x:c r="D22" s="283" t="n">
        <x:v>1</x:v>
      </x:c>
      <x:c r="E22" s="283" t="n">
        <x:v>11</x:v>
      </x:c>
      <x:c r="F22" s="283" t="n">
        <x:v>15</x:v>
      </x:c>
      <x:c r="G22" s="283" t="n">
        <x:v>3</x:v>
      </x:c>
      <x:c r="H22" s="283" t="n">
        <x:v>13</x:v>
      </x:c>
      <x:c r="I22" s="283" t="n">
        <x:v>16</x:v>
      </x:c>
      <x:c r="J22" s="283" t="n">
        <x:v>20</x:v>
      </x:c>
      <x:c r="K22" s="283" t="n">
        <x:v>36</x:v>
      </x:c>
      <x:c r="L22" s="283" t="n">
        <x:v>45</x:v>
      </x:c>
      <x:c r="M22" s="283" t="n">
        <x:v>133</x:v>
      </x:c>
      <x:c r="N22" s="283" t="n">
        <x:v>3</x:v>
      </x:c>
      <x:c r="O22" s="284" t="n">
        <x:v>4</x:v>
      </x:c>
    </x:row>
    <x:row r="23">
      <x:c r="A23" s="282" t="str">
        <x:v>CONTROL_RANDOM</x:v>
      </x:c>
      <x:c r="B23" s="283" t="str">
        <x:v>고정 무작위</x:v>
      </x:c>
      <x:c r="C23" s="283" t="str">
        <x:v>대조</x:v>
      </x:c>
      <x:c r="D23" s="283" t="n">
        <x:v>2</x:v>
      </x:c>
      <x:c r="E23" s="283" t="n">
        <x:v>13</x:v>
      </x:c>
      <x:c r="F23" s="283" t="n">
        <x:v>20</x:v>
      </x:c>
      <x:c r="G23" s="283" t="n">
        <x:v>1</x:v>
      </x:c>
      <x:c r="H23" s="283" t="n">
        <x:v>24</x:v>
      </x:c>
      <x:c r="I23" s="283" t="n">
        <x:v>26</x:v>
      </x:c>
      <x:c r="J23" s="283" t="n">
        <x:v>33</x:v>
      </x:c>
      <x:c r="K23" s="283" t="n">
        <x:v>36</x:v>
      </x:c>
      <x:c r="L23" s="283" t="n">
        <x:v>40</x:v>
      </x:c>
      <x:c r="M23" s="283" t="n">
        <x:v>160</x:v>
      </x:c>
      <x:c r="N23" s="283" t="n">
        <x:v>2</x:v>
      </x:c>
      <x:c r="O23" s="284" t="n">
        <x:v>1</x:v>
      </x:c>
    </x:row>
    <x:row r="24">
      <x:c r="A24" s="282" t="str">
        <x:v>CONTROL_RANDOM</x:v>
      </x:c>
      <x:c r="B24" s="283" t="str">
        <x:v>고정 무작위</x:v>
      </x:c>
      <x:c r="C24" s="283" t="str">
        <x:v>대조</x:v>
      </x:c>
      <x:c r="D24" s="283" t="n">
        <x:v>3</x:v>
      </x:c>
      <x:c r="E24" s="283" t="n">
        <x:v>22</x:v>
      </x:c>
      <x:c r="F24" s="283" t="n">
        <x:v>29</x:v>
      </x:c>
      <x:c r="G24" s="283" t="n">
        <x:v>2</x:v>
      </x:c>
      <x:c r="H24" s="283" t="n">
        <x:v>24</x:v>
      </x:c>
      <x:c r="I24" s="283" t="n">
        <x:v>26</x:v>
      </x:c>
      <x:c r="J24" s="283" t="n">
        <x:v>27</x:v>
      </x:c>
      <x:c r="K24" s="283" t="n">
        <x:v>31</x:v>
      </x:c>
      <x:c r="L24" s="283" t="n">
        <x:v>44</x:v>
      </x:c>
      <x:c r="M24" s="283" t="n">
        <x:v>154</x:v>
      </x:c>
      <x:c r="N24" s="283" t="n">
        <x:v>2</x:v>
      </x:c>
      <x:c r="O24" s="284" t="n">
        <x:v>1</x:v>
      </x:c>
    </x:row>
    <x:row r="25">
      <x:c r="A25" s="282" t="str">
        <x:v>CONTROL_RANDOM</x:v>
      </x:c>
      <x:c r="B25" s="283" t="str">
        <x:v>고정 무작위</x:v>
      </x:c>
      <x:c r="C25" s="283" t="str">
        <x:v>대조</x:v>
      </x:c>
      <x:c r="D25" s="283" t="n">
        <x:v>4</x:v>
      </x:c>
      <x:c r="E25" s="283" t="n">
        <x:v>26</x:v>
      </x:c>
      <x:c r="F25" s="283" t="n">
        <x:v>34</x:v>
      </x:c>
      <x:c r="G25" s="283" t="n">
        <x:v>10</x:v>
      </x:c>
      <x:c r="H25" s="283" t="n">
        <x:v>11</x:v>
      </x:c>
      <x:c r="I25" s="283" t="n">
        <x:v>25</x:v>
      </x:c>
      <x:c r="J25" s="283" t="n">
        <x:v>27</x:v>
      </x:c>
      <x:c r="K25" s="283" t="n">
        <x:v>35</x:v>
      </x:c>
      <x:c r="L25" s="283" t="n">
        <x:v>39</x:v>
      </x:c>
      <x:c r="M25" s="283" t="n">
        <x:v>147</x:v>
      </x:c>
      <x:c r="N25" s="283" t="n">
        <x:v>5</x:v>
      </x:c>
      <x:c r="O25" s="284" t="n">
        <x:v>2</x:v>
      </x:c>
    </x:row>
    <x:row r="26">
      <x:c r="A26" s="285" t="str">
        <x:v>CONTROL_RANDOM</x:v>
      </x:c>
      <x:c r="B26" s="286" t="str">
        <x:v>고정 무작위</x:v>
      </x:c>
      <x:c r="C26" s="286" t="str">
        <x:v>대조</x:v>
      </x:c>
      <x:c r="D26" s="286" t="n">
        <x:v>5</x:v>
      </x:c>
      <x:c r="E26" s="286" t="n">
        <x:v>33</x:v>
      </x:c>
      <x:c r="F26" s="286" t="n">
        <x:v>44</x:v>
      </x:c>
      <x:c r="G26" s="286" t="n">
        <x:v>9</x:v>
      </x:c>
      <x:c r="H26" s="286" t="n">
        <x:v>17</x:v>
      </x:c>
      <x:c r="I26" s="286" t="n">
        <x:v>18</x:v>
      </x:c>
      <x:c r="J26" s="286" t="n">
        <x:v>28</x:v>
      </x:c>
      <x:c r="K26" s="286" t="n">
        <x:v>34</x:v>
      </x:c>
      <x:c r="L26" s="286" t="n">
        <x:v>45</x:v>
      </x:c>
      <x:c r="M26" s="286" t="n">
        <x:v>151</x:v>
      </x:c>
      <x:c r="N26" s="286" t="n">
        <x:v>3</x:v>
      </x:c>
      <x:c r="O26" s="287" t="n">
        <x:v>3</x:v>
      </x:c>
    </x:row>
  </x:sheetData>
  <x:conditionalFormatting sqref="C2:C26">
    <x:cfRule type="expression" dxfId="0" priority="1">
      <x:formula>C2="공식"</x:formula>
    </x:cfRule>
    <x:cfRule type="expression" dxfId="1" priority="2">
      <x:formula>C2="대조"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1" max="31" width="9.380000114440918" hidden="0" customWidth="1"/>
    <x:col min="32" max="32" width="9.380000114440918" hidden="0" customWidth="1"/>
    <x:col min="33" max="33" width="9.380000114440918" hidden="0" customWidth="1"/>
    <x:col min="34" max="34" width="9.380000114440918" hidden="0" customWidth="1"/>
    <x:col min="35" max="35" width="9.380000114440918" hidden="0" customWidth="1"/>
    <x:col min="37" max="37" width="10.380000114440918" hidden="0" customWidth="1"/>
    <x:col min="38" max="38" width="10.380000114440918" hidden="0" customWidth="1"/>
    <x:col min="39" max="39" width="10.380000114440918" hidden="0" customWidth="1"/>
    <x:col min="40" max="40" width="10.380000114440918" hidden="0" customWidth="1"/>
    <x:col min="41" max="41" width="10.380000114440918" hidden="0" customWidth="1"/>
    <x:col min="43" max="43" width="9.880000114440918" hidden="0" customWidth="1"/>
    <x:col min="44" max="44" width="9.880000114440918" hidden="0" customWidth="1"/>
    <x:col min="45" max="45" width="9.880000114440918" hidden="0" customWidth="1"/>
    <x:col min="46" max="46" width="9.880000114440918" hidden="0" customWidth="1"/>
    <x:col min="47" max="47" width="9.880000114440918" hidden="0" customWidth="1"/>
    <x:col min="49" max="49" width="10.130000114440918" hidden="0" customWidth="1"/>
    <x:col min="50" max="50" width="10.130000114440918" hidden="0" customWidth="1"/>
    <x:col min="51" max="51" width="10.130000114440918" hidden="0" customWidth="1"/>
    <x:col min="52" max="52" width="10.130000114440918" hidden="0" customWidth="1"/>
    <x:col min="53" max="53" width="10.130000114440918" hidden="0" customWidth="1"/>
    <x:col min="55" max="55" width="13.630000114440918" hidden="0" customWidth="1"/>
    <x:col min="56" max="56" width="13.630000114440918" hidden="0" customWidth="1"/>
    <x:col min="57" max="57" width="13.630000114440918" hidden="0" customWidth="1"/>
    <x:col min="58" max="58" width="13.630000114440918" hidden="0" customWidth="1"/>
    <x:col min="59" max="59" width="13.630000114440918" hidden="0" customWidth="1"/>
  </x:cols>
  <x:sheetData>
    <x:row r="1">
      <x:c r="A1" s="91" t="str">
        <x:v>회차</x:v>
      </x:c>
      <x:c r="B1" s="92" t="str">
        <x:v>날짜</x:v>
      </x:c>
      <x:c r="C1" s="92" t="str">
        <x:v>상태</x:v>
      </x:c>
      <x:c r="D1" s="92" t="str">
        <x:v>본1</x:v>
      </x:c>
      <x:c r="E1" s="92" t="str">
        <x:v>본2</x:v>
      </x:c>
      <x:c r="F1" s="92" t="str">
        <x:v>본3</x:v>
      </x:c>
      <x:c r="G1" s="92" t="str">
        <x:v>본4</x:v>
      </x:c>
      <x:c r="H1" s="92" t="str">
        <x:v>본5</x:v>
      </x:c>
      <x:c r="I1" s="92" t="str">
        <x:v>본6</x:v>
      </x:c>
      <x:c r="J1" s="92" t="str">
        <x:v>공식 순수 3수 최고</x:v>
      </x:c>
      <x:c r="K1" s="92" t="str">
        <x:v>공식 순수 3수 3개+</x:v>
      </x:c>
      <x:c r="L1" s="92" t="str">
        <x:v>공식 순수 3수 4개+</x:v>
      </x:c>
      <x:c r="M1" s="92" t="str">
        <x:v>공식 순수 3수 5개+</x:v>
      </x:c>
      <x:c r="N1" s="92" t="str">
        <x:v>혼합 2T+3Q 최고</x:v>
      </x:c>
      <x:c r="O1" s="92" t="str">
        <x:v>혼합 2T+3Q 3개+</x:v>
      </x:c>
      <x:c r="P1" s="92" t="str">
        <x:v>혼합 2T+3Q 4개+</x:v>
      </x:c>
      <x:c r="Q1" s="92" t="str">
        <x:v>혼합 2T+3Q 5개+</x:v>
      </x:c>
      <x:c r="R1" s="92" t="str">
        <x:v>순수 4수 최고</x:v>
      </x:c>
      <x:c r="S1" s="92" t="str">
        <x:v>순수 4수 3개+</x:v>
      </x:c>
      <x:c r="T1" s="92" t="str">
        <x:v>순수 4수 4개+</x:v>
      </x:c>
      <x:c r="U1" s="92" t="str">
        <x:v>순수 4수 5개+</x:v>
      </x:c>
      <x:c r="V1" s="92" t="str">
        <x:v>번호 다양성 최고</x:v>
      </x:c>
      <x:c r="W1" s="92" t="str">
        <x:v>번호 다양성 3개+</x:v>
      </x:c>
      <x:c r="X1" s="92" t="str">
        <x:v>번호 다양성 4개+</x:v>
      </x:c>
      <x:c r="Y1" s="92" t="str">
        <x:v>번호 다양성 5개+</x:v>
      </x:c>
      <x:c r="Z1" s="92" t="str">
        <x:v>고정 무작위 최고</x:v>
      </x:c>
      <x:c r="AA1" s="92" t="str">
        <x:v>고정 무작위 3개+</x:v>
      </x:c>
      <x:c r="AB1" s="92" t="str">
        <x:v>고정 무작위 4개+</x:v>
      </x:c>
      <x:c r="AC1" s="93" t="str">
        <x:v>고정 무작위 5개+</x:v>
      </x:c>
      <x:c r="AE1" s="74" t="str">
        <x:v>OFFICIAL_T5_S1</x:v>
      </x:c>
      <x:c r="AF1" s="75" t="str">
        <x:v>OFFICIAL_T5_S2</x:v>
      </x:c>
      <x:c r="AG1" s="75" t="str">
        <x:v>OFFICIAL_T5_S3</x:v>
      </x:c>
      <x:c r="AH1" s="75" t="str">
        <x:v>OFFICIAL_T5_S4</x:v>
      </x:c>
      <x:c r="AI1" s="76" t="str">
        <x:v>OFFICIAL_T5_S5</x:v>
      </x:c>
      <x:c r="AK1" s="74" t="str">
        <x:v>SHADOW_MIX_S1</x:v>
      </x:c>
      <x:c r="AL1" s="75" t="str">
        <x:v>SHADOW_MIX_S2</x:v>
      </x:c>
      <x:c r="AM1" s="75" t="str">
        <x:v>SHADOW_MIX_S3</x:v>
      </x:c>
      <x:c r="AN1" s="75" t="str">
        <x:v>SHADOW_MIX_S4</x:v>
      </x:c>
      <x:c r="AO1" s="76" t="str">
        <x:v>SHADOW_MIX_S5</x:v>
      </x:c>
      <x:c r="AQ1" s="74" t="str">
        <x:v>SHADOW_Q5_S1</x:v>
      </x:c>
      <x:c r="AR1" s="75" t="str">
        <x:v>SHADOW_Q5_S2</x:v>
      </x:c>
      <x:c r="AS1" s="75" t="str">
        <x:v>SHADOW_Q5_S3</x:v>
      </x:c>
      <x:c r="AT1" s="75" t="str">
        <x:v>SHADOW_Q5_S4</x:v>
      </x:c>
      <x:c r="AU1" s="76" t="str">
        <x:v>SHADOW_Q5_S5</x:v>
      </x:c>
      <x:c r="AW1" s="74" t="str">
        <x:v>SHADOW_DIV_S1</x:v>
      </x:c>
      <x:c r="AX1" s="75" t="str">
        <x:v>SHADOW_DIV_S2</x:v>
      </x:c>
      <x:c r="AY1" s="75" t="str">
        <x:v>SHADOW_DIV_S3</x:v>
      </x:c>
      <x:c r="AZ1" s="75" t="str">
        <x:v>SHADOW_DIV_S4</x:v>
      </x:c>
      <x:c r="BA1" s="76" t="str">
        <x:v>SHADOW_DIV_S5</x:v>
      </x:c>
      <x:c r="BC1" s="74" t="str">
        <x:v>CONTROL_RANDOM_S1</x:v>
      </x:c>
      <x:c r="BD1" s="75" t="str">
        <x:v>CONTROL_RANDOM_S2</x:v>
      </x:c>
      <x:c r="BE1" s="75" t="str">
        <x:v>CONTROL_RANDOM_S3</x:v>
      </x:c>
      <x:c r="BF1" s="75" t="str">
        <x:v>CONTROL_RANDOM_S4</x:v>
      </x:c>
      <x:c r="BG1" s="76" t="str">
        <x:v>CONTROL_RANDOM_S5</x:v>
      </x:c>
    </x:row>
    <x:row r="2">
      <x:c r="A2" s="279" t="n">
        <x:v>1234</x:v>
      </x:c>
      <x:c r="B2" s="280" t="str">
        <x:v>2026-07-25</x:v>
      </x:c>
      <x:c r="C2" s="280" t="str">
        <x:f>IF(COUNTA(D2:I2)=6,"확정","대기")</x:f>
        <x:v>대기</x:v>
      </x:c>
      <x:c r="D2" s="280"/>
      <x:c r="E2" s="280"/>
      <x:c r="F2" s="280"/>
      <x:c r="G2" s="280"/>
      <x:c r="H2" s="280"/>
      <x:c r="I2" s="280"/>
      <x:c r="J2" s="280" t="str">
        <x:f>IF(COUNTA($D2:$I2)&lt;6,"",MAX(AE2:AI2))</x:f>
      </x:c>
      <x:c r="K2" s="280" t="str">
        <x:f>IF(J2="","",COUNTIF(AE2:AI2,"&gt;=3"))</x:f>
      </x:c>
      <x:c r="L2" s="280" t="str">
        <x:f>IF(J2="","",COUNTIF(AE2:AI2,"&gt;=4"))</x:f>
      </x:c>
      <x:c r="M2" s="280" t="str">
        <x:f>IF(J2="","",COUNTIF(AE2:AI2,"&gt;=5"))</x:f>
      </x:c>
      <x:c r="N2" s="280" t="str">
        <x:f>IF(COUNTA($D2:$I2)&lt;6,"",MAX(AK2:AO2))</x:f>
      </x:c>
      <x:c r="O2" s="280" t="str">
        <x:f>IF(N2="","",COUNTIF(AK2:AO2,"&gt;=3"))</x:f>
      </x:c>
      <x:c r="P2" s="280" t="str">
        <x:f>IF(N2="","",COUNTIF(AK2:AO2,"&gt;=4"))</x:f>
      </x:c>
      <x:c r="Q2" s="280" t="str">
        <x:f>IF(N2="","",COUNTIF(AK2:AO2,"&gt;=5"))</x:f>
      </x:c>
      <x:c r="R2" s="280" t="str">
        <x:f>IF(COUNTA($D2:$I2)&lt;6,"",MAX(AQ2:AU2))</x:f>
      </x:c>
      <x:c r="S2" s="280" t="str">
        <x:f>IF(R2="","",COUNTIF(AQ2:AU2,"&gt;=3"))</x:f>
      </x:c>
      <x:c r="T2" s="280" t="str">
        <x:f>IF(R2="","",COUNTIF(AQ2:AU2,"&gt;=4"))</x:f>
      </x:c>
      <x:c r="U2" s="280" t="str">
        <x:f>IF(R2="","",COUNTIF(AQ2:AU2,"&gt;=5"))</x:f>
      </x:c>
      <x:c r="V2" s="280" t="str">
        <x:f>IF(COUNTA($D2:$I2)&lt;6,"",MAX(AW2:BA2))</x:f>
      </x:c>
      <x:c r="W2" s="280" t="str">
        <x:f>IF(V2="","",COUNTIF(AW2:BA2,"&gt;=3"))</x:f>
      </x:c>
      <x:c r="X2" s="280" t="str">
        <x:f>IF(V2="","",COUNTIF(AW2:BA2,"&gt;=4"))</x:f>
      </x:c>
      <x:c r="Y2" s="280" t="str">
        <x:f>IF(V2="","",COUNTIF(AW2:BA2,"&gt;=5"))</x:f>
      </x:c>
      <x:c r="Z2" s="280" t="str">
        <x:f>IF(COUNTA($D2:$I2)&lt;6,"",MAX(BC2:BG2))</x:f>
      </x:c>
      <x:c r="AA2" s="280" t="str">
        <x:f>IF(Z2="","",COUNTIF(BC2:BG2,"&gt;=3"))</x:f>
      </x:c>
      <x:c r="AB2" s="280" t="str">
        <x:f>IF(Z2="","",COUNTIF(BC2:BG2,"&gt;=4"))</x:f>
      </x:c>
      <x:c r="AC2" s="281" t="str">
        <x:f>IF(Z2="","",COUNTIF(BC2:BG2,"&gt;=5"))</x:f>
      </x:c>
      <x:c r="AE2" t="str">
        <x:f>IF(COUNTA($D2:$I2)&lt;6,"",COUNTIF($D2:$I2,'5모델 고정세트'!$G$2)+COUNTIF($D2:$I2,'5모델 고정세트'!$H$2)+COUNTIF($D2:$I2,'5모델 고정세트'!$I$2)+COUNTIF($D2:$I2,'5모델 고정세트'!$J$2)+COUNTIF($D2:$I2,'5모델 고정세트'!$K$2)+COUNTIF($D2:$I2,'5모델 고정세트'!$L$2))</x:f>
      </x:c>
      <x:c r="AF2" t="str">
        <x:f>IF(COUNTA($D2:$I2)&lt;6,"",COUNTIF($D2:$I2,'5모델 고정세트'!$G$3)+COUNTIF($D2:$I2,'5모델 고정세트'!$H$3)+COUNTIF($D2:$I2,'5모델 고정세트'!$I$3)+COUNTIF($D2:$I2,'5모델 고정세트'!$J$3)+COUNTIF($D2:$I2,'5모델 고정세트'!$K$3)+COUNTIF($D2:$I2,'5모델 고정세트'!$L$3))</x:f>
      </x:c>
      <x:c r="AG2" t="str">
        <x:f>IF(COUNTA($D2:$I2)&lt;6,"",COUNTIF($D2:$I2,'5모델 고정세트'!$G$4)+COUNTIF($D2:$I2,'5모델 고정세트'!$H$4)+COUNTIF($D2:$I2,'5모델 고정세트'!$I$4)+COUNTIF($D2:$I2,'5모델 고정세트'!$J$4)+COUNTIF($D2:$I2,'5모델 고정세트'!$K$4)+COUNTIF($D2:$I2,'5모델 고정세트'!$L$4))</x:f>
      </x:c>
      <x:c r="AH2" t="str">
        <x:f>IF(COUNTA($D2:$I2)&lt;6,"",COUNTIF($D2:$I2,'5모델 고정세트'!$G$5)+COUNTIF($D2:$I2,'5모델 고정세트'!$H$5)+COUNTIF($D2:$I2,'5모델 고정세트'!$I$5)+COUNTIF($D2:$I2,'5모델 고정세트'!$J$5)+COUNTIF($D2:$I2,'5모델 고정세트'!$K$5)+COUNTIF($D2:$I2,'5모델 고정세트'!$L$5))</x:f>
      </x:c>
      <x:c r="AI2" t="str">
        <x:f>IF(COUNTA($D2:$I2)&lt;6,"",COUNTIF($D2:$I2,'5모델 고정세트'!$G$6)+COUNTIF($D2:$I2,'5모델 고정세트'!$H$6)+COUNTIF($D2:$I2,'5모델 고정세트'!$I$6)+COUNTIF($D2:$I2,'5모델 고정세트'!$J$6)+COUNTIF($D2:$I2,'5모델 고정세트'!$K$6)+COUNTIF($D2:$I2,'5모델 고정세트'!$L$6))</x:f>
      </x:c>
      <x:c r="AK2" t="str">
        <x:f>IF(COUNTA($D2:$I2)&lt;6,"",COUNTIF($D2:$I2,'5모델 고정세트'!$G$7)+COUNTIF($D2:$I2,'5모델 고정세트'!$H$7)+COUNTIF($D2:$I2,'5모델 고정세트'!$I$7)+COUNTIF($D2:$I2,'5모델 고정세트'!$J$7)+COUNTIF($D2:$I2,'5모델 고정세트'!$K$7)+COUNTIF($D2:$I2,'5모델 고정세트'!$L$7))</x:f>
      </x:c>
      <x:c r="AL2" t="str">
        <x:f>IF(COUNTA($D2:$I2)&lt;6,"",COUNTIF($D2:$I2,'5모델 고정세트'!$G$8)+COUNTIF($D2:$I2,'5모델 고정세트'!$H$8)+COUNTIF($D2:$I2,'5모델 고정세트'!$I$8)+COUNTIF($D2:$I2,'5모델 고정세트'!$J$8)+COUNTIF($D2:$I2,'5모델 고정세트'!$K$8)+COUNTIF($D2:$I2,'5모델 고정세트'!$L$8))</x:f>
      </x:c>
      <x:c r="AM2" t="str">
        <x:f>IF(COUNTA($D2:$I2)&lt;6,"",COUNTIF($D2:$I2,'5모델 고정세트'!$G$9)+COUNTIF($D2:$I2,'5모델 고정세트'!$H$9)+COUNTIF($D2:$I2,'5모델 고정세트'!$I$9)+COUNTIF($D2:$I2,'5모델 고정세트'!$J$9)+COUNTIF($D2:$I2,'5모델 고정세트'!$K$9)+COUNTIF($D2:$I2,'5모델 고정세트'!$L$9))</x:f>
      </x:c>
      <x:c r="AN2" t="str">
        <x:f>IF(COUNTA($D2:$I2)&lt;6,"",COUNTIF($D2:$I2,'5모델 고정세트'!$G$10)+COUNTIF($D2:$I2,'5모델 고정세트'!$H$10)+COUNTIF($D2:$I2,'5모델 고정세트'!$I$10)+COUNTIF($D2:$I2,'5모델 고정세트'!$J$10)+COUNTIF($D2:$I2,'5모델 고정세트'!$K$10)+COUNTIF($D2:$I2,'5모델 고정세트'!$L$10))</x:f>
      </x:c>
      <x:c r="AO2" t="str">
        <x:f>IF(COUNTA($D2:$I2)&lt;6,"",COUNTIF($D2:$I2,'5모델 고정세트'!$G$11)+COUNTIF($D2:$I2,'5모델 고정세트'!$H$11)+COUNTIF($D2:$I2,'5모델 고정세트'!$I$11)+COUNTIF($D2:$I2,'5모델 고정세트'!$J$11)+COUNTIF($D2:$I2,'5모델 고정세트'!$K$11)+COUNTIF($D2:$I2,'5모델 고정세트'!$L$11))</x:f>
      </x:c>
      <x:c r="AQ2" t="str">
        <x:f>IF(COUNTA($D2:$I2)&lt;6,"",COUNTIF($D2:$I2,'5모델 고정세트'!$G$12)+COUNTIF($D2:$I2,'5모델 고정세트'!$H$12)+COUNTIF($D2:$I2,'5모델 고정세트'!$I$12)+COUNTIF($D2:$I2,'5모델 고정세트'!$J$12)+COUNTIF($D2:$I2,'5모델 고정세트'!$K$12)+COUNTIF($D2:$I2,'5모델 고정세트'!$L$12))</x:f>
      </x:c>
      <x:c r="AR2" t="str">
        <x:f>IF(COUNTA($D2:$I2)&lt;6,"",COUNTIF($D2:$I2,'5모델 고정세트'!$G$13)+COUNTIF($D2:$I2,'5모델 고정세트'!$H$13)+COUNTIF($D2:$I2,'5모델 고정세트'!$I$13)+COUNTIF($D2:$I2,'5모델 고정세트'!$J$13)+COUNTIF($D2:$I2,'5모델 고정세트'!$K$13)+COUNTIF($D2:$I2,'5모델 고정세트'!$L$13))</x:f>
      </x:c>
      <x:c r="AS2" t="str">
        <x:f>IF(COUNTA($D2:$I2)&lt;6,"",COUNTIF($D2:$I2,'5모델 고정세트'!$G$14)+COUNTIF($D2:$I2,'5모델 고정세트'!$H$14)+COUNTIF($D2:$I2,'5모델 고정세트'!$I$14)+COUNTIF($D2:$I2,'5모델 고정세트'!$J$14)+COUNTIF($D2:$I2,'5모델 고정세트'!$K$14)+COUNTIF($D2:$I2,'5모델 고정세트'!$L$14))</x:f>
      </x:c>
      <x:c r="AT2" t="str">
        <x:f>IF(COUNTA($D2:$I2)&lt;6,"",COUNTIF($D2:$I2,'5모델 고정세트'!$G$15)+COUNTIF($D2:$I2,'5모델 고정세트'!$H$15)+COUNTIF($D2:$I2,'5모델 고정세트'!$I$15)+COUNTIF($D2:$I2,'5모델 고정세트'!$J$15)+COUNTIF($D2:$I2,'5모델 고정세트'!$K$15)+COUNTIF($D2:$I2,'5모델 고정세트'!$L$15))</x:f>
      </x:c>
      <x:c r="AU2" t="str">
        <x:f>IF(COUNTA($D2:$I2)&lt;6,"",COUNTIF($D2:$I2,'5모델 고정세트'!$G$16)+COUNTIF($D2:$I2,'5모델 고정세트'!$H$16)+COUNTIF($D2:$I2,'5모델 고정세트'!$I$16)+COUNTIF($D2:$I2,'5모델 고정세트'!$J$16)+COUNTIF($D2:$I2,'5모델 고정세트'!$K$16)+COUNTIF($D2:$I2,'5모델 고정세트'!$L$16))</x:f>
      </x:c>
      <x:c r="AW2" t="str">
        <x:f>IF(COUNTA($D2:$I2)&lt;6,"",COUNTIF($D2:$I2,'5모델 고정세트'!$G$17)+COUNTIF($D2:$I2,'5모델 고정세트'!$H$17)+COUNTIF($D2:$I2,'5모델 고정세트'!$I$17)+COUNTIF($D2:$I2,'5모델 고정세트'!$J$17)+COUNTIF($D2:$I2,'5모델 고정세트'!$K$17)+COUNTIF($D2:$I2,'5모델 고정세트'!$L$17))</x:f>
      </x:c>
      <x:c r="AX2" t="str">
        <x:f>IF(COUNTA($D2:$I2)&lt;6,"",COUNTIF($D2:$I2,'5모델 고정세트'!$G$18)+COUNTIF($D2:$I2,'5모델 고정세트'!$H$18)+COUNTIF($D2:$I2,'5모델 고정세트'!$I$18)+COUNTIF($D2:$I2,'5모델 고정세트'!$J$18)+COUNTIF($D2:$I2,'5모델 고정세트'!$K$18)+COUNTIF($D2:$I2,'5모델 고정세트'!$L$18))</x:f>
      </x:c>
      <x:c r="AY2" t="str">
        <x:f>IF(COUNTA($D2:$I2)&lt;6,"",COUNTIF($D2:$I2,'5모델 고정세트'!$G$19)+COUNTIF($D2:$I2,'5모델 고정세트'!$H$19)+COUNTIF($D2:$I2,'5모델 고정세트'!$I$19)+COUNTIF($D2:$I2,'5모델 고정세트'!$J$19)+COUNTIF($D2:$I2,'5모델 고정세트'!$K$19)+COUNTIF($D2:$I2,'5모델 고정세트'!$L$19))</x:f>
      </x:c>
      <x:c r="AZ2" t="str">
        <x:f>IF(COUNTA($D2:$I2)&lt;6,"",COUNTIF($D2:$I2,'5모델 고정세트'!$G$20)+COUNTIF($D2:$I2,'5모델 고정세트'!$H$20)+COUNTIF($D2:$I2,'5모델 고정세트'!$I$20)+COUNTIF($D2:$I2,'5모델 고정세트'!$J$20)+COUNTIF($D2:$I2,'5모델 고정세트'!$K$20)+COUNTIF($D2:$I2,'5모델 고정세트'!$L$20))</x:f>
      </x:c>
      <x:c r="BA2" t="str">
        <x:f>IF(COUNTA($D2:$I2)&lt;6,"",COUNTIF($D2:$I2,'5모델 고정세트'!$G$21)+COUNTIF($D2:$I2,'5모델 고정세트'!$H$21)+COUNTIF($D2:$I2,'5모델 고정세트'!$I$21)+COUNTIF($D2:$I2,'5모델 고정세트'!$J$21)+COUNTIF($D2:$I2,'5모델 고정세트'!$K$21)+COUNTIF($D2:$I2,'5모델 고정세트'!$L$21))</x:f>
      </x:c>
      <x:c r="BC2" t="str">
        <x:f>IF(COUNTA($D2:$I2)&lt;6,"",COUNTIF($D2:$I2,'5모델 고정세트'!$G$22)+COUNTIF($D2:$I2,'5모델 고정세트'!$H$22)+COUNTIF($D2:$I2,'5모델 고정세트'!$I$22)+COUNTIF($D2:$I2,'5모델 고정세트'!$J$22)+COUNTIF($D2:$I2,'5모델 고정세트'!$K$22)+COUNTIF($D2:$I2,'5모델 고정세트'!$L$22))</x:f>
      </x:c>
      <x:c r="BD2" t="str">
        <x:f>IF(COUNTA($D2:$I2)&lt;6,"",COUNTIF($D2:$I2,'5모델 고정세트'!$G$23)+COUNTIF($D2:$I2,'5모델 고정세트'!$H$23)+COUNTIF($D2:$I2,'5모델 고정세트'!$I$23)+COUNTIF($D2:$I2,'5모델 고정세트'!$J$23)+COUNTIF($D2:$I2,'5모델 고정세트'!$K$23)+COUNTIF($D2:$I2,'5모델 고정세트'!$L$23))</x:f>
      </x:c>
      <x:c r="BE2" t="str">
        <x:f>IF(COUNTA($D2:$I2)&lt;6,"",COUNTIF($D2:$I2,'5모델 고정세트'!$G$24)+COUNTIF($D2:$I2,'5모델 고정세트'!$H$24)+COUNTIF($D2:$I2,'5모델 고정세트'!$I$24)+COUNTIF($D2:$I2,'5모델 고정세트'!$J$24)+COUNTIF($D2:$I2,'5모델 고정세트'!$K$24)+COUNTIF($D2:$I2,'5모델 고정세트'!$L$24))</x:f>
      </x:c>
      <x:c r="BF2" t="str">
        <x:f>IF(COUNTA($D2:$I2)&lt;6,"",COUNTIF($D2:$I2,'5모델 고정세트'!$G$25)+COUNTIF($D2:$I2,'5모델 고정세트'!$H$25)+COUNTIF($D2:$I2,'5모델 고정세트'!$I$25)+COUNTIF($D2:$I2,'5모델 고정세트'!$J$25)+COUNTIF($D2:$I2,'5모델 고정세트'!$K$25)+COUNTIF($D2:$I2,'5모델 고정세트'!$L$25))</x:f>
      </x:c>
      <x:c r="BG2" t="str">
        <x:f>IF(COUNTA($D2:$I2)&lt;6,"",COUNTIF($D2:$I2,'5모델 고정세트'!$G$26)+COUNTIF($D2:$I2,'5모델 고정세트'!$H$26)+COUNTIF($D2:$I2,'5모델 고정세트'!$I$26)+COUNTIF($D2:$I2,'5모델 고정세트'!$J$26)+COUNTIF($D2:$I2,'5모델 고정세트'!$K$26)+COUNTIF($D2:$I2,'5모델 고정세트'!$L$26))</x:f>
      </x:c>
    </x:row>
    <x:row r="3">
      <x:c r="A3" s="282" t="n">
        <x:v>1235</x:v>
      </x:c>
      <x:c r="B3" s="283" t="str">
        <x:v>2026-08-01</x:v>
      </x:c>
      <x:c r="C3" s="283" t="str">
        <x:f>IF(COUNTA(D3:I3)=6,"확정","대기")</x:f>
        <x:v>대기</x:v>
      </x:c>
      <x:c r="D3" s="283"/>
      <x:c r="E3" s="283"/>
      <x:c r="F3" s="283"/>
      <x:c r="G3" s="283"/>
      <x:c r="H3" s="283"/>
      <x:c r="I3" s="283"/>
      <x:c r="J3" s="283" t="str">
        <x:f>IF(COUNTA($D3:$I3)&lt;6,"",MAX(AE3:AI3))</x:f>
      </x:c>
      <x:c r="K3" s="283" t="str">
        <x:f>IF(J3="","",COUNTIF(AE3:AI3,"&gt;=3"))</x:f>
      </x:c>
      <x:c r="L3" s="283" t="str">
        <x:f>IF(J3="","",COUNTIF(AE3:AI3,"&gt;=4"))</x:f>
      </x:c>
      <x:c r="M3" s="283" t="str">
        <x:f>IF(J3="","",COUNTIF(AE3:AI3,"&gt;=5"))</x:f>
      </x:c>
      <x:c r="N3" s="283" t="str">
        <x:f>IF(COUNTA($D3:$I3)&lt;6,"",MAX(AK3:AO3))</x:f>
      </x:c>
      <x:c r="O3" s="283" t="str">
        <x:f>IF(N3="","",COUNTIF(AK3:AO3,"&gt;=3"))</x:f>
      </x:c>
      <x:c r="P3" s="283" t="str">
        <x:f>IF(N3="","",COUNTIF(AK3:AO3,"&gt;=4"))</x:f>
      </x:c>
      <x:c r="Q3" s="283" t="str">
        <x:f>IF(N3="","",COUNTIF(AK3:AO3,"&gt;=5"))</x:f>
      </x:c>
      <x:c r="R3" s="283" t="str">
        <x:f>IF(COUNTA($D3:$I3)&lt;6,"",MAX(AQ3:AU3))</x:f>
      </x:c>
      <x:c r="S3" s="283" t="str">
        <x:f>IF(R3="","",COUNTIF(AQ3:AU3,"&gt;=3"))</x:f>
      </x:c>
      <x:c r="T3" s="283" t="str">
        <x:f>IF(R3="","",COUNTIF(AQ3:AU3,"&gt;=4"))</x:f>
      </x:c>
      <x:c r="U3" s="283" t="str">
        <x:f>IF(R3="","",COUNTIF(AQ3:AU3,"&gt;=5"))</x:f>
      </x:c>
      <x:c r="V3" s="283" t="str">
        <x:f>IF(COUNTA($D3:$I3)&lt;6,"",MAX(AW3:BA3))</x:f>
      </x:c>
      <x:c r="W3" s="283" t="str">
        <x:f>IF(V3="","",COUNTIF(AW3:BA3,"&gt;=3"))</x:f>
      </x:c>
      <x:c r="X3" s="283" t="str">
        <x:f>IF(V3="","",COUNTIF(AW3:BA3,"&gt;=4"))</x:f>
      </x:c>
      <x:c r="Y3" s="283" t="str">
        <x:f>IF(V3="","",COUNTIF(AW3:BA3,"&gt;=5"))</x:f>
      </x:c>
      <x:c r="Z3" s="283" t="str">
        <x:f>IF(COUNTA($D3:$I3)&lt;6,"",MAX(BC3:BG3))</x:f>
      </x:c>
      <x:c r="AA3" s="283" t="str">
        <x:f>IF(Z3="","",COUNTIF(BC3:BG3,"&gt;=3"))</x:f>
      </x:c>
      <x:c r="AB3" s="283" t="str">
        <x:f>IF(Z3="","",COUNTIF(BC3:BG3,"&gt;=4"))</x:f>
      </x:c>
      <x:c r="AC3" s="284" t="str">
        <x:f>IF(Z3="","",COUNTIF(BC3:BG3,"&gt;=5"))</x:f>
      </x:c>
      <x:c r="AE3" t="str">
        <x:f>IF(COUNTA($D3:$I3)&lt;6,"",COUNTIF($D3:$I3,'5모델 고정세트'!$G$2)+COUNTIF($D3:$I3,'5모델 고정세트'!$H$2)+COUNTIF($D3:$I3,'5모델 고정세트'!$I$2)+COUNTIF($D3:$I3,'5모델 고정세트'!$J$2)+COUNTIF($D3:$I3,'5모델 고정세트'!$K$2)+COUNTIF($D3:$I3,'5모델 고정세트'!$L$2))</x:f>
      </x:c>
      <x:c r="AF3" t="str">
        <x:f>IF(COUNTA($D3:$I3)&lt;6,"",COUNTIF($D3:$I3,'5모델 고정세트'!$G$3)+COUNTIF($D3:$I3,'5모델 고정세트'!$H$3)+COUNTIF($D3:$I3,'5모델 고정세트'!$I$3)+COUNTIF($D3:$I3,'5모델 고정세트'!$J$3)+COUNTIF($D3:$I3,'5모델 고정세트'!$K$3)+COUNTIF($D3:$I3,'5모델 고정세트'!$L$3))</x:f>
      </x:c>
      <x:c r="AG3" t="str">
        <x:f>IF(COUNTA($D3:$I3)&lt;6,"",COUNTIF($D3:$I3,'5모델 고정세트'!$G$4)+COUNTIF($D3:$I3,'5모델 고정세트'!$H$4)+COUNTIF($D3:$I3,'5모델 고정세트'!$I$4)+COUNTIF($D3:$I3,'5모델 고정세트'!$J$4)+COUNTIF($D3:$I3,'5모델 고정세트'!$K$4)+COUNTIF($D3:$I3,'5모델 고정세트'!$L$4))</x:f>
      </x:c>
      <x:c r="AH3" t="str">
        <x:f>IF(COUNTA($D3:$I3)&lt;6,"",COUNTIF($D3:$I3,'5모델 고정세트'!$G$5)+COUNTIF($D3:$I3,'5모델 고정세트'!$H$5)+COUNTIF($D3:$I3,'5모델 고정세트'!$I$5)+COUNTIF($D3:$I3,'5모델 고정세트'!$J$5)+COUNTIF($D3:$I3,'5모델 고정세트'!$K$5)+COUNTIF($D3:$I3,'5모델 고정세트'!$L$5))</x:f>
      </x:c>
      <x:c r="AI3" t="str">
        <x:f>IF(COUNTA($D3:$I3)&lt;6,"",COUNTIF($D3:$I3,'5모델 고정세트'!$G$6)+COUNTIF($D3:$I3,'5모델 고정세트'!$H$6)+COUNTIF($D3:$I3,'5모델 고정세트'!$I$6)+COUNTIF($D3:$I3,'5모델 고정세트'!$J$6)+COUNTIF($D3:$I3,'5모델 고정세트'!$K$6)+COUNTIF($D3:$I3,'5모델 고정세트'!$L$6))</x:f>
      </x:c>
      <x:c r="AK3" t="str">
        <x:f>IF(COUNTA($D3:$I3)&lt;6,"",COUNTIF($D3:$I3,'5모델 고정세트'!$G$7)+COUNTIF($D3:$I3,'5모델 고정세트'!$H$7)+COUNTIF($D3:$I3,'5모델 고정세트'!$I$7)+COUNTIF($D3:$I3,'5모델 고정세트'!$J$7)+COUNTIF($D3:$I3,'5모델 고정세트'!$K$7)+COUNTIF($D3:$I3,'5모델 고정세트'!$L$7))</x:f>
      </x:c>
      <x:c r="AL3" t="str">
        <x:f>IF(COUNTA($D3:$I3)&lt;6,"",COUNTIF($D3:$I3,'5모델 고정세트'!$G$8)+COUNTIF($D3:$I3,'5모델 고정세트'!$H$8)+COUNTIF($D3:$I3,'5모델 고정세트'!$I$8)+COUNTIF($D3:$I3,'5모델 고정세트'!$J$8)+COUNTIF($D3:$I3,'5모델 고정세트'!$K$8)+COUNTIF($D3:$I3,'5모델 고정세트'!$L$8))</x:f>
      </x:c>
      <x:c r="AM3" t="str">
        <x:f>IF(COUNTA($D3:$I3)&lt;6,"",COUNTIF($D3:$I3,'5모델 고정세트'!$G$9)+COUNTIF($D3:$I3,'5모델 고정세트'!$H$9)+COUNTIF($D3:$I3,'5모델 고정세트'!$I$9)+COUNTIF($D3:$I3,'5모델 고정세트'!$J$9)+COUNTIF($D3:$I3,'5모델 고정세트'!$K$9)+COUNTIF($D3:$I3,'5모델 고정세트'!$L$9))</x:f>
      </x:c>
      <x:c r="AN3" t="str">
        <x:f>IF(COUNTA($D3:$I3)&lt;6,"",COUNTIF($D3:$I3,'5모델 고정세트'!$G$10)+COUNTIF($D3:$I3,'5모델 고정세트'!$H$10)+COUNTIF($D3:$I3,'5모델 고정세트'!$I$10)+COUNTIF($D3:$I3,'5모델 고정세트'!$J$10)+COUNTIF($D3:$I3,'5모델 고정세트'!$K$10)+COUNTIF($D3:$I3,'5모델 고정세트'!$L$10))</x:f>
      </x:c>
      <x:c r="AO3" t="str">
        <x:f>IF(COUNTA($D3:$I3)&lt;6,"",COUNTIF($D3:$I3,'5모델 고정세트'!$G$11)+COUNTIF($D3:$I3,'5모델 고정세트'!$H$11)+COUNTIF($D3:$I3,'5모델 고정세트'!$I$11)+COUNTIF($D3:$I3,'5모델 고정세트'!$J$11)+COUNTIF($D3:$I3,'5모델 고정세트'!$K$11)+COUNTIF($D3:$I3,'5모델 고정세트'!$L$11))</x:f>
      </x:c>
      <x:c r="AQ3" t="str">
        <x:f>IF(COUNTA($D3:$I3)&lt;6,"",COUNTIF($D3:$I3,'5모델 고정세트'!$G$12)+COUNTIF($D3:$I3,'5모델 고정세트'!$H$12)+COUNTIF($D3:$I3,'5모델 고정세트'!$I$12)+COUNTIF($D3:$I3,'5모델 고정세트'!$J$12)+COUNTIF($D3:$I3,'5모델 고정세트'!$K$12)+COUNTIF($D3:$I3,'5모델 고정세트'!$L$12))</x:f>
      </x:c>
      <x:c r="AR3" t="str">
        <x:f>IF(COUNTA($D3:$I3)&lt;6,"",COUNTIF($D3:$I3,'5모델 고정세트'!$G$13)+COUNTIF($D3:$I3,'5모델 고정세트'!$H$13)+COUNTIF($D3:$I3,'5모델 고정세트'!$I$13)+COUNTIF($D3:$I3,'5모델 고정세트'!$J$13)+COUNTIF($D3:$I3,'5모델 고정세트'!$K$13)+COUNTIF($D3:$I3,'5모델 고정세트'!$L$13))</x:f>
      </x:c>
      <x:c r="AS3" t="str">
        <x:f>IF(COUNTA($D3:$I3)&lt;6,"",COUNTIF($D3:$I3,'5모델 고정세트'!$G$14)+COUNTIF($D3:$I3,'5모델 고정세트'!$H$14)+COUNTIF($D3:$I3,'5모델 고정세트'!$I$14)+COUNTIF($D3:$I3,'5모델 고정세트'!$J$14)+COUNTIF($D3:$I3,'5모델 고정세트'!$K$14)+COUNTIF($D3:$I3,'5모델 고정세트'!$L$14))</x:f>
      </x:c>
      <x:c r="AT3" t="str">
        <x:f>IF(COUNTA($D3:$I3)&lt;6,"",COUNTIF($D3:$I3,'5모델 고정세트'!$G$15)+COUNTIF($D3:$I3,'5모델 고정세트'!$H$15)+COUNTIF($D3:$I3,'5모델 고정세트'!$I$15)+COUNTIF($D3:$I3,'5모델 고정세트'!$J$15)+COUNTIF($D3:$I3,'5모델 고정세트'!$K$15)+COUNTIF($D3:$I3,'5모델 고정세트'!$L$15))</x:f>
      </x:c>
      <x:c r="AU3" t="str">
        <x:f>IF(COUNTA($D3:$I3)&lt;6,"",COUNTIF($D3:$I3,'5모델 고정세트'!$G$16)+COUNTIF($D3:$I3,'5모델 고정세트'!$H$16)+COUNTIF($D3:$I3,'5모델 고정세트'!$I$16)+COUNTIF($D3:$I3,'5모델 고정세트'!$J$16)+COUNTIF($D3:$I3,'5모델 고정세트'!$K$16)+COUNTIF($D3:$I3,'5모델 고정세트'!$L$16))</x:f>
      </x:c>
      <x:c r="AW3" t="str">
        <x:f>IF(COUNTA($D3:$I3)&lt;6,"",COUNTIF($D3:$I3,'5모델 고정세트'!$G$17)+COUNTIF($D3:$I3,'5모델 고정세트'!$H$17)+COUNTIF($D3:$I3,'5모델 고정세트'!$I$17)+COUNTIF($D3:$I3,'5모델 고정세트'!$J$17)+COUNTIF($D3:$I3,'5모델 고정세트'!$K$17)+COUNTIF($D3:$I3,'5모델 고정세트'!$L$17))</x:f>
      </x:c>
      <x:c r="AX3" t="str">
        <x:f>IF(COUNTA($D3:$I3)&lt;6,"",COUNTIF($D3:$I3,'5모델 고정세트'!$G$18)+COUNTIF($D3:$I3,'5모델 고정세트'!$H$18)+COUNTIF($D3:$I3,'5모델 고정세트'!$I$18)+COUNTIF($D3:$I3,'5모델 고정세트'!$J$18)+COUNTIF($D3:$I3,'5모델 고정세트'!$K$18)+COUNTIF($D3:$I3,'5모델 고정세트'!$L$18))</x:f>
      </x:c>
      <x:c r="AY3" t="str">
        <x:f>IF(COUNTA($D3:$I3)&lt;6,"",COUNTIF($D3:$I3,'5모델 고정세트'!$G$19)+COUNTIF($D3:$I3,'5모델 고정세트'!$H$19)+COUNTIF($D3:$I3,'5모델 고정세트'!$I$19)+COUNTIF($D3:$I3,'5모델 고정세트'!$J$19)+COUNTIF($D3:$I3,'5모델 고정세트'!$K$19)+COUNTIF($D3:$I3,'5모델 고정세트'!$L$19))</x:f>
      </x:c>
      <x:c r="AZ3" t="str">
        <x:f>IF(COUNTA($D3:$I3)&lt;6,"",COUNTIF($D3:$I3,'5모델 고정세트'!$G$20)+COUNTIF($D3:$I3,'5모델 고정세트'!$H$20)+COUNTIF($D3:$I3,'5모델 고정세트'!$I$20)+COUNTIF($D3:$I3,'5모델 고정세트'!$J$20)+COUNTIF($D3:$I3,'5모델 고정세트'!$K$20)+COUNTIF($D3:$I3,'5모델 고정세트'!$L$20))</x:f>
      </x:c>
      <x:c r="BA3" t="str">
        <x:f>IF(COUNTA($D3:$I3)&lt;6,"",COUNTIF($D3:$I3,'5모델 고정세트'!$G$21)+COUNTIF($D3:$I3,'5모델 고정세트'!$H$21)+COUNTIF($D3:$I3,'5모델 고정세트'!$I$21)+COUNTIF($D3:$I3,'5모델 고정세트'!$J$21)+COUNTIF($D3:$I3,'5모델 고정세트'!$K$21)+COUNTIF($D3:$I3,'5모델 고정세트'!$L$21))</x:f>
      </x:c>
      <x:c r="BC3" t="str">
        <x:f>IF(COUNTA($D3:$I3)&lt;6,"",COUNTIF($D3:$I3,'5모델 고정세트'!$G$22)+COUNTIF($D3:$I3,'5모델 고정세트'!$H$22)+COUNTIF($D3:$I3,'5모델 고정세트'!$I$22)+COUNTIF($D3:$I3,'5모델 고정세트'!$J$22)+COUNTIF($D3:$I3,'5모델 고정세트'!$K$22)+COUNTIF($D3:$I3,'5모델 고정세트'!$L$22))</x:f>
      </x:c>
      <x:c r="BD3" t="str">
        <x:f>IF(COUNTA($D3:$I3)&lt;6,"",COUNTIF($D3:$I3,'5모델 고정세트'!$G$23)+COUNTIF($D3:$I3,'5모델 고정세트'!$H$23)+COUNTIF($D3:$I3,'5모델 고정세트'!$I$23)+COUNTIF($D3:$I3,'5모델 고정세트'!$J$23)+COUNTIF($D3:$I3,'5모델 고정세트'!$K$23)+COUNTIF($D3:$I3,'5모델 고정세트'!$L$23))</x:f>
      </x:c>
      <x:c r="BE3" t="str">
        <x:f>IF(COUNTA($D3:$I3)&lt;6,"",COUNTIF($D3:$I3,'5모델 고정세트'!$G$24)+COUNTIF($D3:$I3,'5모델 고정세트'!$H$24)+COUNTIF($D3:$I3,'5모델 고정세트'!$I$24)+COUNTIF($D3:$I3,'5모델 고정세트'!$J$24)+COUNTIF($D3:$I3,'5모델 고정세트'!$K$24)+COUNTIF($D3:$I3,'5모델 고정세트'!$L$24))</x:f>
      </x:c>
      <x:c r="BF3" t="str">
        <x:f>IF(COUNTA($D3:$I3)&lt;6,"",COUNTIF($D3:$I3,'5모델 고정세트'!$G$25)+COUNTIF($D3:$I3,'5모델 고정세트'!$H$25)+COUNTIF($D3:$I3,'5모델 고정세트'!$I$25)+COUNTIF($D3:$I3,'5모델 고정세트'!$J$25)+COUNTIF($D3:$I3,'5모델 고정세트'!$K$25)+COUNTIF($D3:$I3,'5모델 고정세트'!$L$25))</x:f>
      </x:c>
      <x:c r="BG3" t="str">
        <x:f>IF(COUNTA($D3:$I3)&lt;6,"",COUNTIF($D3:$I3,'5모델 고정세트'!$G$26)+COUNTIF($D3:$I3,'5모델 고정세트'!$H$26)+COUNTIF($D3:$I3,'5모델 고정세트'!$I$26)+COUNTIF($D3:$I3,'5모델 고정세트'!$J$26)+COUNTIF($D3:$I3,'5모델 고정세트'!$K$26)+COUNTIF($D3:$I3,'5모델 고정세트'!$L$26))</x:f>
      </x:c>
    </x:row>
    <x:row r="4">
      <x:c r="A4" s="282" t="n">
        <x:v>1236</x:v>
      </x:c>
      <x:c r="B4" s="283" t="str">
        <x:v>2026-08-08</x:v>
      </x:c>
      <x:c r="C4" s="283" t="str">
        <x:f>IF(COUNTA(D4:I4)=6,"확정","대기")</x:f>
        <x:v>대기</x:v>
      </x:c>
      <x:c r="D4" s="283"/>
      <x:c r="E4" s="283"/>
      <x:c r="F4" s="283"/>
      <x:c r="G4" s="283"/>
      <x:c r="H4" s="283"/>
      <x:c r="I4" s="283"/>
      <x:c r="J4" s="283" t="str">
        <x:f>IF(COUNTA($D4:$I4)&lt;6,"",MAX(AE4:AI4))</x:f>
      </x:c>
      <x:c r="K4" s="283" t="str">
        <x:f>IF(J4="","",COUNTIF(AE4:AI4,"&gt;=3"))</x:f>
      </x:c>
      <x:c r="L4" s="283" t="str">
        <x:f>IF(J4="","",COUNTIF(AE4:AI4,"&gt;=4"))</x:f>
      </x:c>
      <x:c r="M4" s="283" t="str">
        <x:f>IF(J4="","",COUNTIF(AE4:AI4,"&gt;=5"))</x:f>
      </x:c>
      <x:c r="N4" s="283" t="str">
        <x:f>IF(COUNTA($D4:$I4)&lt;6,"",MAX(AK4:AO4))</x:f>
      </x:c>
      <x:c r="O4" s="283" t="str">
        <x:f>IF(N4="","",COUNTIF(AK4:AO4,"&gt;=3"))</x:f>
      </x:c>
      <x:c r="P4" s="283" t="str">
        <x:f>IF(N4="","",COUNTIF(AK4:AO4,"&gt;=4"))</x:f>
      </x:c>
      <x:c r="Q4" s="283" t="str">
        <x:f>IF(N4="","",COUNTIF(AK4:AO4,"&gt;=5"))</x:f>
      </x:c>
      <x:c r="R4" s="283" t="str">
        <x:f>IF(COUNTA($D4:$I4)&lt;6,"",MAX(AQ4:AU4))</x:f>
      </x:c>
      <x:c r="S4" s="283" t="str">
        <x:f>IF(R4="","",COUNTIF(AQ4:AU4,"&gt;=3"))</x:f>
      </x:c>
      <x:c r="T4" s="283" t="str">
        <x:f>IF(R4="","",COUNTIF(AQ4:AU4,"&gt;=4"))</x:f>
      </x:c>
      <x:c r="U4" s="283" t="str">
        <x:f>IF(R4="","",COUNTIF(AQ4:AU4,"&gt;=5"))</x:f>
      </x:c>
      <x:c r="V4" s="283" t="str">
        <x:f>IF(COUNTA($D4:$I4)&lt;6,"",MAX(AW4:BA4))</x:f>
      </x:c>
      <x:c r="W4" s="283" t="str">
        <x:f>IF(V4="","",COUNTIF(AW4:BA4,"&gt;=3"))</x:f>
      </x:c>
      <x:c r="X4" s="283" t="str">
        <x:f>IF(V4="","",COUNTIF(AW4:BA4,"&gt;=4"))</x:f>
      </x:c>
      <x:c r="Y4" s="283" t="str">
        <x:f>IF(V4="","",COUNTIF(AW4:BA4,"&gt;=5"))</x:f>
      </x:c>
      <x:c r="Z4" s="283" t="str">
        <x:f>IF(COUNTA($D4:$I4)&lt;6,"",MAX(BC4:BG4))</x:f>
      </x:c>
      <x:c r="AA4" s="283" t="str">
        <x:f>IF(Z4="","",COUNTIF(BC4:BG4,"&gt;=3"))</x:f>
      </x:c>
      <x:c r="AB4" s="283" t="str">
        <x:f>IF(Z4="","",COUNTIF(BC4:BG4,"&gt;=4"))</x:f>
      </x:c>
      <x:c r="AC4" s="284" t="str">
        <x:f>IF(Z4="","",COUNTIF(BC4:BG4,"&gt;=5"))</x:f>
      </x:c>
      <x:c r="AE4" t="str">
        <x:f>IF(COUNTA($D4:$I4)&lt;6,"",COUNTIF($D4:$I4,'5모델 고정세트'!$G$2)+COUNTIF($D4:$I4,'5모델 고정세트'!$H$2)+COUNTIF($D4:$I4,'5모델 고정세트'!$I$2)+COUNTIF($D4:$I4,'5모델 고정세트'!$J$2)+COUNTIF($D4:$I4,'5모델 고정세트'!$K$2)+COUNTIF($D4:$I4,'5모델 고정세트'!$L$2))</x:f>
      </x:c>
      <x:c r="AF4" t="str">
        <x:f>IF(COUNTA($D4:$I4)&lt;6,"",COUNTIF($D4:$I4,'5모델 고정세트'!$G$3)+COUNTIF($D4:$I4,'5모델 고정세트'!$H$3)+COUNTIF($D4:$I4,'5모델 고정세트'!$I$3)+COUNTIF($D4:$I4,'5모델 고정세트'!$J$3)+COUNTIF($D4:$I4,'5모델 고정세트'!$K$3)+COUNTIF($D4:$I4,'5모델 고정세트'!$L$3))</x:f>
      </x:c>
      <x:c r="AG4" t="str">
        <x:f>IF(COUNTA($D4:$I4)&lt;6,"",COUNTIF($D4:$I4,'5모델 고정세트'!$G$4)+COUNTIF($D4:$I4,'5모델 고정세트'!$H$4)+COUNTIF($D4:$I4,'5모델 고정세트'!$I$4)+COUNTIF($D4:$I4,'5모델 고정세트'!$J$4)+COUNTIF($D4:$I4,'5모델 고정세트'!$K$4)+COUNTIF($D4:$I4,'5모델 고정세트'!$L$4))</x:f>
      </x:c>
      <x:c r="AH4" t="str">
        <x:f>IF(COUNTA($D4:$I4)&lt;6,"",COUNTIF($D4:$I4,'5모델 고정세트'!$G$5)+COUNTIF($D4:$I4,'5모델 고정세트'!$H$5)+COUNTIF($D4:$I4,'5모델 고정세트'!$I$5)+COUNTIF($D4:$I4,'5모델 고정세트'!$J$5)+COUNTIF($D4:$I4,'5모델 고정세트'!$K$5)+COUNTIF($D4:$I4,'5모델 고정세트'!$L$5))</x:f>
      </x:c>
      <x:c r="AI4" t="str">
        <x:f>IF(COUNTA($D4:$I4)&lt;6,"",COUNTIF($D4:$I4,'5모델 고정세트'!$G$6)+COUNTIF($D4:$I4,'5모델 고정세트'!$H$6)+COUNTIF($D4:$I4,'5모델 고정세트'!$I$6)+COUNTIF($D4:$I4,'5모델 고정세트'!$J$6)+COUNTIF($D4:$I4,'5모델 고정세트'!$K$6)+COUNTIF($D4:$I4,'5모델 고정세트'!$L$6))</x:f>
      </x:c>
      <x:c r="AK4" t="str">
        <x:f>IF(COUNTA($D4:$I4)&lt;6,"",COUNTIF($D4:$I4,'5모델 고정세트'!$G$7)+COUNTIF($D4:$I4,'5모델 고정세트'!$H$7)+COUNTIF($D4:$I4,'5모델 고정세트'!$I$7)+COUNTIF($D4:$I4,'5모델 고정세트'!$J$7)+COUNTIF($D4:$I4,'5모델 고정세트'!$K$7)+COUNTIF($D4:$I4,'5모델 고정세트'!$L$7))</x:f>
      </x:c>
      <x:c r="AL4" t="str">
        <x:f>IF(COUNTA($D4:$I4)&lt;6,"",COUNTIF($D4:$I4,'5모델 고정세트'!$G$8)+COUNTIF($D4:$I4,'5모델 고정세트'!$H$8)+COUNTIF($D4:$I4,'5모델 고정세트'!$I$8)+COUNTIF($D4:$I4,'5모델 고정세트'!$J$8)+COUNTIF($D4:$I4,'5모델 고정세트'!$K$8)+COUNTIF($D4:$I4,'5모델 고정세트'!$L$8))</x:f>
      </x:c>
      <x:c r="AM4" t="str">
        <x:f>IF(COUNTA($D4:$I4)&lt;6,"",COUNTIF($D4:$I4,'5모델 고정세트'!$G$9)+COUNTIF($D4:$I4,'5모델 고정세트'!$H$9)+COUNTIF($D4:$I4,'5모델 고정세트'!$I$9)+COUNTIF($D4:$I4,'5모델 고정세트'!$J$9)+COUNTIF($D4:$I4,'5모델 고정세트'!$K$9)+COUNTIF($D4:$I4,'5모델 고정세트'!$L$9))</x:f>
      </x:c>
      <x:c r="AN4" t="str">
        <x:f>IF(COUNTA($D4:$I4)&lt;6,"",COUNTIF($D4:$I4,'5모델 고정세트'!$G$10)+COUNTIF($D4:$I4,'5모델 고정세트'!$H$10)+COUNTIF($D4:$I4,'5모델 고정세트'!$I$10)+COUNTIF($D4:$I4,'5모델 고정세트'!$J$10)+COUNTIF($D4:$I4,'5모델 고정세트'!$K$10)+COUNTIF($D4:$I4,'5모델 고정세트'!$L$10))</x:f>
      </x:c>
      <x:c r="AO4" t="str">
        <x:f>IF(COUNTA($D4:$I4)&lt;6,"",COUNTIF($D4:$I4,'5모델 고정세트'!$G$11)+COUNTIF($D4:$I4,'5모델 고정세트'!$H$11)+COUNTIF($D4:$I4,'5모델 고정세트'!$I$11)+COUNTIF($D4:$I4,'5모델 고정세트'!$J$11)+COUNTIF($D4:$I4,'5모델 고정세트'!$K$11)+COUNTIF($D4:$I4,'5모델 고정세트'!$L$11))</x:f>
      </x:c>
      <x:c r="AQ4" t="str">
        <x:f>IF(COUNTA($D4:$I4)&lt;6,"",COUNTIF($D4:$I4,'5모델 고정세트'!$G$12)+COUNTIF($D4:$I4,'5모델 고정세트'!$H$12)+COUNTIF($D4:$I4,'5모델 고정세트'!$I$12)+COUNTIF($D4:$I4,'5모델 고정세트'!$J$12)+COUNTIF($D4:$I4,'5모델 고정세트'!$K$12)+COUNTIF($D4:$I4,'5모델 고정세트'!$L$12))</x:f>
      </x:c>
      <x:c r="AR4" t="str">
        <x:f>IF(COUNTA($D4:$I4)&lt;6,"",COUNTIF($D4:$I4,'5모델 고정세트'!$G$13)+COUNTIF($D4:$I4,'5모델 고정세트'!$H$13)+COUNTIF($D4:$I4,'5모델 고정세트'!$I$13)+COUNTIF($D4:$I4,'5모델 고정세트'!$J$13)+COUNTIF($D4:$I4,'5모델 고정세트'!$K$13)+COUNTIF($D4:$I4,'5모델 고정세트'!$L$13))</x:f>
      </x:c>
      <x:c r="AS4" t="str">
        <x:f>IF(COUNTA($D4:$I4)&lt;6,"",COUNTIF($D4:$I4,'5모델 고정세트'!$G$14)+COUNTIF($D4:$I4,'5모델 고정세트'!$H$14)+COUNTIF($D4:$I4,'5모델 고정세트'!$I$14)+COUNTIF($D4:$I4,'5모델 고정세트'!$J$14)+COUNTIF($D4:$I4,'5모델 고정세트'!$K$14)+COUNTIF($D4:$I4,'5모델 고정세트'!$L$14))</x:f>
      </x:c>
      <x:c r="AT4" t="str">
        <x:f>IF(COUNTA($D4:$I4)&lt;6,"",COUNTIF($D4:$I4,'5모델 고정세트'!$G$15)+COUNTIF($D4:$I4,'5모델 고정세트'!$H$15)+COUNTIF($D4:$I4,'5모델 고정세트'!$I$15)+COUNTIF($D4:$I4,'5모델 고정세트'!$J$15)+COUNTIF($D4:$I4,'5모델 고정세트'!$K$15)+COUNTIF($D4:$I4,'5모델 고정세트'!$L$15))</x:f>
      </x:c>
      <x:c r="AU4" t="str">
        <x:f>IF(COUNTA($D4:$I4)&lt;6,"",COUNTIF($D4:$I4,'5모델 고정세트'!$G$16)+COUNTIF($D4:$I4,'5모델 고정세트'!$H$16)+COUNTIF($D4:$I4,'5모델 고정세트'!$I$16)+COUNTIF($D4:$I4,'5모델 고정세트'!$J$16)+COUNTIF($D4:$I4,'5모델 고정세트'!$K$16)+COUNTIF($D4:$I4,'5모델 고정세트'!$L$16))</x:f>
      </x:c>
      <x:c r="AW4" t="str">
        <x:f>IF(COUNTA($D4:$I4)&lt;6,"",COUNTIF($D4:$I4,'5모델 고정세트'!$G$17)+COUNTIF($D4:$I4,'5모델 고정세트'!$H$17)+COUNTIF($D4:$I4,'5모델 고정세트'!$I$17)+COUNTIF($D4:$I4,'5모델 고정세트'!$J$17)+COUNTIF($D4:$I4,'5모델 고정세트'!$K$17)+COUNTIF($D4:$I4,'5모델 고정세트'!$L$17))</x:f>
      </x:c>
      <x:c r="AX4" t="str">
        <x:f>IF(COUNTA($D4:$I4)&lt;6,"",COUNTIF($D4:$I4,'5모델 고정세트'!$G$18)+COUNTIF($D4:$I4,'5모델 고정세트'!$H$18)+COUNTIF($D4:$I4,'5모델 고정세트'!$I$18)+COUNTIF($D4:$I4,'5모델 고정세트'!$J$18)+COUNTIF($D4:$I4,'5모델 고정세트'!$K$18)+COUNTIF($D4:$I4,'5모델 고정세트'!$L$18))</x:f>
      </x:c>
      <x:c r="AY4" t="str">
        <x:f>IF(COUNTA($D4:$I4)&lt;6,"",COUNTIF($D4:$I4,'5모델 고정세트'!$G$19)+COUNTIF($D4:$I4,'5모델 고정세트'!$H$19)+COUNTIF($D4:$I4,'5모델 고정세트'!$I$19)+COUNTIF($D4:$I4,'5모델 고정세트'!$J$19)+COUNTIF($D4:$I4,'5모델 고정세트'!$K$19)+COUNTIF($D4:$I4,'5모델 고정세트'!$L$19))</x:f>
      </x:c>
      <x:c r="AZ4" t="str">
        <x:f>IF(COUNTA($D4:$I4)&lt;6,"",COUNTIF($D4:$I4,'5모델 고정세트'!$G$20)+COUNTIF($D4:$I4,'5모델 고정세트'!$H$20)+COUNTIF($D4:$I4,'5모델 고정세트'!$I$20)+COUNTIF($D4:$I4,'5모델 고정세트'!$J$20)+COUNTIF($D4:$I4,'5모델 고정세트'!$K$20)+COUNTIF($D4:$I4,'5모델 고정세트'!$L$20))</x:f>
      </x:c>
      <x:c r="BA4" t="str">
        <x:f>IF(COUNTA($D4:$I4)&lt;6,"",COUNTIF($D4:$I4,'5모델 고정세트'!$G$21)+COUNTIF($D4:$I4,'5모델 고정세트'!$H$21)+COUNTIF($D4:$I4,'5모델 고정세트'!$I$21)+COUNTIF($D4:$I4,'5모델 고정세트'!$J$21)+COUNTIF($D4:$I4,'5모델 고정세트'!$K$21)+COUNTIF($D4:$I4,'5모델 고정세트'!$L$21))</x:f>
      </x:c>
      <x:c r="BC4" t="str">
        <x:f>IF(COUNTA($D4:$I4)&lt;6,"",COUNTIF($D4:$I4,'5모델 고정세트'!$G$22)+COUNTIF($D4:$I4,'5모델 고정세트'!$H$22)+COUNTIF($D4:$I4,'5모델 고정세트'!$I$22)+COUNTIF($D4:$I4,'5모델 고정세트'!$J$22)+COUNTIF($D4:$I4,'5모델 고정세트'!$K$22)+COUNTIF($D4:$I4,'5모델 고정세트'!$L$22))</x:f>
      </x:c>
      <x:c r="BD4" t="str">
        <x:f>IF(COUNTA($D4:$I4)&lt;6,"",COUNTIF($D4:$I4,'5모델 고정세트'!$G$23)+COUNTIF($D4:$I4,'5모델 고정세트'!$H$23)+COUNTIF($D4:$I4,'5모델 고정세트'!$I$23)+COUNTIF($D4:$I4,'5모델 고정세트'!$J$23)+COUNTIF($D4:$I4,'5모델 고정세트'!$K$23)+COUNTIF($D4:$I4,'5모델 고정세트'!$L$23))</x:f>
      </x:c>
      <x:c r="BE4" t="str">
        <x:f>IF(COUNTA($D4:$I4)&lt;6,"",COUNTIF($D4:$I4,'5모델 고정세트'!$G$24)+COUNTIF($D4:$I4,'5모델 고정세트'!$H$24)+COUNTIF($D4:$I4,'5모델 고정세트'!$I$24)+COUNTIF($D4:$I4,'5모델 고정세트'!$J$24)+COUNTIF($D4:$I4,'5모델 고정세트'!$K$24)+COUNTIF($D4:$I4,'5모델 고정세트'!$L$24))</x:f>
      </x:c>
      <x:c r="BF4" t="str">
        <x:f>IF(COUNTA($D4:$I4)&lt;6,"",COUNTIF($D4:$I4,'5모델 고정세트'!$G$25)+COUNTIF($D4:$I4,'5모델 고정세트'!$H$25)+COUNTIF($D4:$I4,'5모델 고정세트'!$I$25)+COUNTIF($D4:$I4,'5모델 고정세트'!$J$25)+COUNTIF($D4:$I4,'5모델 고정세트'!$K$25)+COUNTIF($D4:$I4,'5모델 고정세트'!$L$25))</x:f>
      </x:c>
      <x:c r="BG4" t="str">
        <x:f>IF(COUNTA($D4:$I4)&lt;6,"",COUNTIF($D4:$I4,'5모델 고정세트'!$G$26)+COUNTIF($D4:$I4,'5모델 고정세트'!$H$26)+COUNTIF($D4:$I4,'5모델 고정세트'!$I$26)+COUNTIF($D4:$I4,'5모델 고정세트'!$J$26)+COUNTIF($D4:$I4,'5모델 고정세트'!$K$26)+COUNTIF($D4:$I4,'5모델 고정세트'!$L$26))</x:f>
      </x:c>
    </x:row>
    <x:row r="5">
      <x:c r="A5" s="282" t="n">
        <x:v>1237</x:v>
      </x:c>
      <x:c r="B5" s="283" t="str">
        <x:v>2026-08-15</x:v>
      </x:c>
      <x:c r="C5" s="283" t="str">
        <x:f>IF(COUNTA(D5:I5)=6,"확정","대기")</x:f>
        <x:v>대기</x:v>
      </x:c>
      <x:c r="D5" s="283"/>
      <x:c r="E5" s="283"/>
      <x:c r="F5" s="283"/>
      <x:c r="G5" s="283"/>
      <x:c r="H5" s="283"/>
      <x:c r="I5" s="283"/>
      <x:c r="J5" s="283" t="str">
        <x:f>IF(COUNTA($D5:$I5)&lt;6,"",MAX(AE5:AI5))</x:f>
      </x:c>
      <x:c r="K5" s="283" t="str">
        <x:f>IF(J5="","",COUNTIF(AE5:AI5,"&gt;=3"))</x:f>
      </x:c>
      <x:c r="L5" s="283" t="str">
        <x:f>IF(J5="","",COUNTIF(AE5:AI5,"&gt;=4"))</x:f>
      </x:c>
      <x:c r="M5" s="283" t="str">
        <x:f>IF(J5="","",COUNTIF(AE5:AI5,"&gt;=5"))</x:f>
      </x:c>
      <x:c r="N5" s="283" t="str">
        <x:f>IF(COUNTA($D5:$I5)&lt;6,"",MAX(AK5:AO5))</x:f>
      </x:c>
      <x:c r="O5" s="283" t="str">
        <x:f>IF(N5="","",COUNTIF(AK5:AO5,"&gt;=3"))</x:f>
      </x:c>
      <x:c r="P5" s="283" t="str">
        <x:f>IF(N5="","",COUNTIF(AK5:AO5,"&gt;=4"))</x:f>
      </x:c>
      <x:c r="Q5" s="283" t="str">
        <x:f>IF(N5="","",COUNTIF(AK5:AO5,"&gt;=5"))</x:f>
      </x:c>
      <x:c r="R5" s="283" t="str">
        <x:f>IF(COUNTA($D5:$I5)&lt;6,"",MAX(AQ5:AU5))</x:f>
      </x:c>
      <x:c r="S5" s="283" t="str">
        <x:f>IF(R5="","",COUNTIF(AQ5:AU5,"&gt;=3"))</x:f>
      </x:c>
      <x:c r="T5" s="283" t="str">
        <x:f>IF(R5="","",COUNTIF(AQ5:AU5,"&gt;=4"))</x:f>
      </x:c>
      <x:c r="U5" s="283" t="str">
        <x:f>IF(R5="","",COUNTIF(AQ5:AU5,"&gt;=5"))</x:f>
      </x:c>
      <x:c r="V5" s="283" t="str">
        <x:f>IF(COUNTA($D5:$I5)&lt;6,"",MAX(AW5:BA5))</x:f>
      </x:c>
      <x:c r="W5" s="283" t="str">
        <x:f>IF(V5="","",COUNTIF(AW5:BA5,"&gt;=3"))</x:f>
      </x:c>
      <x:c r="X5" s="283" t="str">
        <x:f>IF(V5="","",COUNTIF(AW5:BA5,"&gt;=4"))</x:f>
      </x:c>
      <x:c r="Y5" s="283" t="str">
        <x:f>IF(V5="","",COUNTIF(AW5:BA5,"&gt;=5"))</x:f>
      </x:c>
      <x:c r="Z5" s="283" t="str">
        <x:f>IF(COUNTA($D5:$I5)&lt;6,"",MAX(BC5:BG5))</x:f>
      </x:c>
      <x:c r="AA5" s="283" t="str">
        <x:f>IF(Z5="","",COUNTIF(BC5:BG5,"&gt;=3"))</x:f>
      </x:c>
      <x:c r="AB5" s="283" t="str">
        <x:f>IF(Z5="","",COUNTIF(BC5:BG5,"&gt;=4"))</x:f>
      </x:c>
      <x:c r="AC5" s="284" t="str">
        <x:f>IF(Z5="","",COUNTIF(BC5:BG5,"&gt;=5"))</x:f>
      </x:c>
      <x:c r="AE5" t="str">
        <x:f>IF(COUNTA($D5:$I5)&lt;6,"",COUNTIF($D5:$I5,'5모델 고정세트'!$G$2)+COUNTIF($D5:$I5,'5모델 고정세트'!$H$2)+COUNTIF($D5:$I5,'5모델 고정세트'!$I$2)+COUNTIF($D5:$I5,'5모델 고정세트'!$J$2)+COUNTIF($D5:$I5,'5모델 고정세트'!$K$2)+COUNTIF($D5:$I5,'5모델 고정세트'!$L$2))</x:f>
      </x:c>
      <x:c r="AF5" t="str">
        <x:f>IF(COUNTA($D5:$I5)&lt;6,"",COUNTIF($D5:$I5,'5모델 고정세트'!$G$3)+COUNTIF($D5:$I5,'5모델 고정세트'!$H$3)+COUNTIF($D5:$I5,'5모델 고정세트'!$I$3)+COUNTIF($D5:$I5,'5모델 고정세트'!$J$3)+COUNTIF($D5:$I5,'5모델 고정세트'!$K$3)+COUNTIF($D5:$I5,'5모델 고정세트'!$L$3))</x:f>
      </x:c>
      <x:c r="AG5" t="str">
        <x:f>IF(COUNTA($D5:$I5)&lt;6,"",COUNTIF($D5:$I5,'5모델 고정세트'!$G$4)+COUNTIF($D5:$I5,'5모델 고정세트'!$H$4)+COUNTIF($D5:$I5,'5모델 고정세트'!$I$4)+COUNTIF($D5:$I5,'5모델 고정세트'!$J$4)+COUNTIF($D5:$I5,'5모델 고정세트'!$K$4)+COUNTIF($D5:$I5,'5모델 고정세트'!$L$4))</x:f>
      </x:c>
      <x:c r="AH5" t="str">
        <x:f>IF(COUNTA($D5:$I5)&lt;6,"",COUNTIF($D5:$I5,'5모델 고정세트'!$G$5)+COUNTIF($D5:$I5,'5모델 고정세트'!$H$5)+COUNTIF($D5:$I5,'5모델 고정세트'!$I$5)+COUNTIF($D5:$I5,'5모델 고정세트'!$J$5)+COUNTIF($D5:$I5,'5모델 고정세트'!$K$5)+COUNTIF($D5:$I5,'5모델 고정세트'!$L$5))</x:f>
      </x:c>
      <x:c r="AI5" t="str">
        <x:f>IF(COUNTA($D5:$I5)&lt;6,"",COUNTIF($D5:$I5,'5모델 고정세트'!$G$6)+COUNTIF($D5:$I5,'5모델 고정세트'!$H$6)+COUNTIF($D5:$I5,'5모델 고정세트'!$I$6)+COUNTIF($D5:$I5,'5모델 고정세트'!$J$6)+COUNTIF($D5:$I5,'5모델 고정세트'!$K$6)+COUNTIF($D5:$I5,'5모델 고정세트'!$L$6))</x:f>
      </x:c>
      <x:c r="AK5" t="str">
        <x:f>IF(COUNTA($D5:$I5)&lt;6,"",COUNTIF($D5:$I5,'5모델 고정세트'!$G$7)+COUNTIF($D5:$I5,'5모델 고정세트'!$H$7)+COUNTIF($D5:$I5,'5모델 고정세트'!$I$7)+COUNTIF($D5:$I5,'5모델 고정세트'!$J$7)+COUNTIF($D5:$I5,'5모델 고정세트'!$K$7)+COUNTIF($D5:$I5,'5모델 고정세트'!$L$7))</x:f>
      </x:c>
      <x:c r="AL5" t="str">
        <x:f>IF(COUNTA($D5:$I5)&lt;6,"",COUNTIF($D5:$I5,'5모델 고정세트'!$G$8)+COUNTIF($D5:$I5,'5모델 고정세트'!$H$8)+COUNTIF($D5:$I5,'5모델 고정세트'!$I$8)+COUNTIF($D5:$I5,'5모델 고정세트'!$J$8)+COUNTIF($D5:$I5,'5모델 고정세트'!$K$8)+COUNTIF($D5:$I5,'5모델 고정세트'!$L$8))</x:f>
      </x:c>
      <x:c r="AM5" t="str">
        <x:f>IF(COUNTA($D5:$I5)&lt;6,"",COUNTIF($D5:$I5,'5모델 고정세트'!$G$9)+COUNTIF($D5:$I5,'5모델 고정세트'!$H$9)+COUNTIF($D5:$I5,'5모델 고정세트'!$I$9)+COUNTIF($D5:$I5,'5모델 고정세트'!$J$9)+COUNTIF($D5:$I5,'5모델 고정세트'!$K$9)+COUNTIF($D5:$I5,'5모델 고정세트'!$L$9))</x:f>
      </x:c>
      <x:c r="AN5" t="str">
        <x:f>IF(COUNTA($D5:$I5)&lt;6,"",COUNTIF($D5:$I5,'5모델 고정세트'!$G$10)+COUNTIF($D5:$I5,'5모델 고정세트'!$H$10)+COUNTIF($D5:$I5,'5모델 고정세트'!$I$10)+COUNTIF($D5:$I5,'5모델 고정세트'!$J$10)+COUNTIF($D5:$I5,'5모델 고정세트'!$K$10)+COUNTIF($D5:$I5,'5모델 고정세트'!$L$10))</x:f>
      </x:c>
      <x:c r="AO5" t="str">
        <x:f>IF(COUNTA($D5:$I5)&lt;6,"",COUNTIF($D5:$I5,'5모델 고정세트'!$G$11)+COUNTIF($D5:$I5,'5모델 고정세트'!$H$11)+COUNTIF($D5:$I5,'5모델 고정세트'!$I$11)+COUNTIF($D5:$I5,'5모델 고정세트'!$J$11)+COUNTIF($D5:$I5,'5모델 고정세트'!$K$11)+COUNTIF($D5:$I5,'5모델 고정세트'!$L$11))</x:f>
      </x:c>
      <x:c r="AQ5" t="str">
        <x:f>IF(COUNTA($D5:$I5)&lt;6,"",COUNTIF($D5:$I5,'5모델 고정세트'!$G$12)+COUNTIF($D5:$I5,'5모델 고정세트'!$H$12)+COUNTIF($D5:$I5,'5모델 고정세트'!$I$12)+COUNTIF($D5:$I5,'5모델 고정세트'!$J$12)+COUNTIF($D5:$I5,'5모델 고정세트'!$K$12)+COUNTIF($D5:$I5,'5모델 고정세트'!$L$12))</x:f>
      </x:c>
      <x:c r="AR5" t="str">
        <x:f>IF(COUNTA($D5:$I5)&lt;6,"",COUNTIF($D5:$I5,'5모델 고정세트'!$G$13)+COUNTIF($D5:$I5,'5모델 고정세트'!$H$13)+COUNTIF($D5:$I5,'5모델 고정세트'!$I$13)+COUNTIF($D5:$I5,'5모델 고정세트'!$J$13)+COUNTIF($D5:$I5,'5모델 고정세트'!$K$13)+COUNTIF($D5:$I5,'5모델 고정세트'!$L$13))</x:f>
      </x:c>
      <x:c r="AS5" t="str">
        <x:f>IF(COUNTA($D5:$I5)&lt;6,"",COUNTIF($D5:$I5,'5모델 고정세트'!$G$14)+COUNTIF($D5:$I5,'5모델 고정세트'!$H$14)+COUNTIF($D5:$I5,'5모델 고정세트'!$I$14)+COUNTIF($D5:$I5,'5모델 고정세트'!$J$14)+COUNTIF($D5:$I5,'5모델 고정세트'!$K$14)+COUNTIF($D5:$I5,'5모델 고정세트'!$L$14))</x:f>
      </x:c>
      <x:c r="AT5" t="str">
        <x:f>IF(COUNTA($D5:$I5)&lt;6,"",COUNTIF($D5:$I5,'5모델 고정세트'!$G$15)+COUNTIF($D5:$I5,'5모델 고정세트'!$H$15)+COUNTIF($D5:$I5,'5모델 고정세트'!$I$15)+COUNTIF($D5:$I5,'5모델 고정세트'!$J$15)+COUNTIF($D5:$I5,'5모델 고정세트'!$K$15)+COUNTIF($D5:$I5,'5모델 고정세트'!$L$15))</x:f>
      </x:c>
      <x:c r="AU5" t="str">
        <x:f>IF(COUNTA($D5:$I5)&lt;6,"",COUNTIF($D5:$I5,'5모델 고정세트'!$G$16)+COUNTIF($D5:$I5,'5모델 고정세트'!$H$16)+COUNTIF($D5:$I5,'5모델 고정세트'!$I$16)+COUNTIF($D5:$I5,'5모델 고정세트'!$J$16)+COUNTIF($D5:$I5,'5모델 고정세트'!$K$16)+COUNTIF($D5:$I5,'5모델 고정세트'!$L$16))</x:f>
      </x:c>
      <x:c r="AW5" t="str">
        <x:f>IF(COUNTA($D5:$I5)&lt;6,"",COUNTIF($D5:$I5,'5모델 고정세트'!$G$17)+COUNTIF($D5:$I5,'5모델 고정세트'!$H$17)+COUNTIF($D5:$I5,'5모델 고정세트'!$I$17)+COUNTIF($D5:$I5,'5모델 고정세트'!$J$17)+COUNTIF($D5:$I5,'5모델 고정세트'!$K$17)+COUNTIF($D5:$I5,'5모델 고정세트'!$L$17))</x:f>
      </x:c>
      <x:c r="AX5" t="str">
        <x:f>IF(COUNTA($D5:$I5)&lt;6,"",COUNTIF($D5:$I5,'5모델 고정세트'!$G$18)+COUNTIF($D5:$I5,'5모델 고정세트'!$H$18)+COUNTIF($D5:$I5,'5모델 고정세트'!$I$18)+COUNTIF($D5:$I5,'5모델 고정세트'!$J$18)+COUNTIF($D5:$I5,'5모델 고정세트'!$K$18)+COUNTIF($D5:$I5,'5모델 고정세트'!$L$18))</x:f>
      </x:c>
      <x:c r="AY5" t="str">
        <x:f>IF(COUNTA($D5:$I5)&lt;6,"",COUNTIF($D5:$I5,'5모델 고정세트'!$G$19)+COUNTIF($D5:$I5,'5모델 고정세트'!$H$19)+COUNTIF($D5:$I5,'5모델 고정세트'!$I$19)+COUNTIF($D5:$I5,'5모델 고정세트'!$J$19)+COUNTIF($D5:$I5,'5모델 고정세트'!$K$19)+COUNTIF($D5:$I5,'5모델 고정세트'!$L$19))</x:f>
      </x:c>
      <x:c r="AZ5" t="str">
        <x:f>IF(COUNTA($D5:$I5)&lt;6,"",COUNTIF($D5:$I5,'5모델 고정세트'!$G$20)+COUNTIF($D5:$I5,'5모델 고정세트'!$H$20)+COUNTIF($D5:$I5,'5모델 고정세트'!$I$20)+COUNTIF($D5:$I5,'5모델 고정세트'!$J$20)+COUNTIF($D5:$I5,'5모델 고정세트'!$K$20)+COUNTIF($D5:$I5,'5모델 고정세트'!$L$20))</x:f>
      </x:c>
      <x:c r="BA5" t="str">
        <x:f>IF(COUNTA($D5:$I5)&lt;6,"",COUNTIF($D5:$I5,'5모델 고정세트'!$G$21)+COUNTIF($D5:$I5,'5모델 고정세트'!$H$21)+COUNTIF($D5:$I5,'5모델 고정세트'!$I$21)+COUNTIF($D5:$I5,'5모델 고정세트'!$J$21)+COUNTIF($D5:$I5,'5모델 고정세트'!$K$21)+COUNTIF($D5:$I5,'5모델 고정세트'!$L$21))</x:f>
      </x:c>
      <x:c r="BC5" t="str">
        <x:f>IF(COUNTA($D5:$I5)&lt;6,"",COUNTIF($D5:$I5,'5모델 고정세트'!$G$22)+COUNTIF($D5:$I5,'5모델 고정세트'!$H$22)+COUNTIF($D5:$I5,'5모델 고정세트'!$I$22)+COUNTIF($D5:$I5,'5모델 고정세트'!$J$22)+COUNTIF($D5:$I5,'5모델 고정세트'!$K$22)+COUNTIF($D5:$I5,'5모델 고정세트'!$L$22))</x:f>
      </x:c>
      <x:c r="BD5" t="str">
        <x:f>IF(COUNTA($D5:$I5)&lt;6,"",COUNTIF($D5:$I5,'5모델 고정세트'!$G$23)+COUNTIF($D5:$I5,'5모델 고정세트'!$H$23)+COUNTIF($D5:$I5,'5모델 고정세트'!$I$23)+COUNTIF($D5:$I5,'5모델 고정세트'!$J$23)+COUNTIF($D5:$I5,'5모델 고정세트'!$K$23)+COUNTIF($D5:$I5,'5모델 고정세트'!$L$23))</x:f>
      </x:c>
      <x:c r="BE5" t="str">
        <x:f>IF(COUNTA($D5:$I5)&lt;6,"",COUNTIF($D5:$I5,'5모델 고정세트'!$G$24)+COUNTIF($D5:$I5,'5모델 고정세트'!$H$24)+COUNTIF($D5:$I5,'5모델 고정세트'!$I$24)+COUNTIF($D5:$I5,'5모델 고정세트'!$J$24)+COUNTIF($D5:$I5,'5모델 고정세트'!$K$24)+COUNTIF($D5:$I5,'5모델 고정세트'!$L$24))</x:f>
      </x:c>
      <x:c r="BF5" t="str">
        <x:f>IF(COUNTA($D5:$I5)&lt;6,"",COUNTIF($D5:$I5,'5모델 고정세트'!$G$25)+COUNTIF($D5:$I5,'5모델 고정세트'!$H$25)+COUNTIF($D5:$I5,'5모델 고정세트'!$I$25)+COUNTIF($D5:$I5,'5모델 고정세트'!$J$25)+COUNTIF($D5:$I5,'5모델 고정세트'!$K$25)+COUNTIF($D5:$I5,'5모델 고정세트'!$L$25))</x:f>
      </x:c>
      <x:c r="BG5" t="str">
        <x:f>IF(COUNTA($D5:$I5)&lt;6,"",COUNTIF($D5:$I5,'5모델 고정세트'!$G$26)+COUNTIF($D5:$I5,'5모델 고정세트'!$H$26)+COUNTIF($D5:$I5,'5모델 고정세트'!$I$26)+COUNTIF($D5:$I5,'5모델 고정세트'!$J$26)+COUNTIF($D5:$I5,'5모델 고정세트'!$K$26)+COUNTIF($D5:$I5,'5모델 고정세트'!$L$26))</x:f>
      </x:c>
    </x:row>
    <x:row r="6">
      <x:c r="A6" s="282" t="n">
        <x:v>1238</x:v>
      </x:c>
      <x:c r="B6" s="283" t="str">
        <x:v>2026-08-22</x:v>
      </x:c>
      <x:c r="C6" s="283" t="str">
        <x:f>IF(COUNTA(D6:I6)=6,"확정","대기")</x:f>
        <x:v>대기</x:v>
      </x:c>
      <x:c r="D6" s="283"/>
      <x:c r="E6" s="283"/>
      <x:c r="F6" s="283"/>
      <x:c r="G6" s="283"/>
      <x:c r="H6" s="283"/>
      <x:c r="I6" s="283"/>
      <x:c r="J6" s="283" t="str">
        <x:f>IF(COUNTA($D6:$I6)&lt;6,"",MAX(AE6:AI6))</x:f>
      </x:c>
      <x:c r="K6" s="283" t="str">
        <x:f>IF(J6="","",COUNTIF(AE6:AI6,"&gt;=3"))</x:f>
      </x:c>
      <x:c r="L6" s="283" t="str">
        <x:f>IF(J6="","",COUNTIF(AE6:AI6,"&gt;=4"))</x:f>
      </x:c>
      <x:c r="M6" s="283" t="str">
        <x:f>IF(J6="","",COUNTIF(AE6:AI6,"&gt;=5"))</x:f>
      </x:c>
      <x:c r="N6" s="283" t="str">
        <x:f>IF(COUNTA($D6:$I6)&lt;6,"",MAX(AK6:AO6))</x:f>
      </x:c>
      <x:c r="O6" s="283" t="str">
        <x:f>IF(N6="","",COUNTIF(AK6:AO6,"&gt;=3"))</x:f>
      </x:c>
      <x:c r="P6" s="283" t="str">
        <x:f>IF(N6="","",COUNTIF(AK6:AO6,"&gt;=4"))</x:f>
      </x:c>
      <x:c r="Q6" s="283" t="str">
        <x:f>IF(N6="","",COUNTIF(AK6:AO6,"&gt;=5"))</x:f>
      </x:c>
      <x:c r="R6" s="283" t="str">
        <x:f>IF(COUNTA($D6:$I6)&lt;6,"",MAX(AQ6:AU6))</x:f>
      </x:c>
      <x:c r="S6" s="283" t="str">
        <x:f>IF(R6="","",COUNTIF(AQ6:AU6,"&gt;=3"))</x:f>
      </x:c>
      <x:c r="T6" s="283" t="str">
        <x:f>IF(R6="","",COUNTIF(AQ6:AU6,"&gt;=4"))</x:f>
      </x:c>
      <x:c r="U6" s="283" t="str">
        <x:f>IF(R6="","",COUNTIF(AQ6:AU6,"&gt;=5"))</x:f>
      </x:c>
      <x:c r="V6" s="283" t="str">
        <x:f>IF(COUNTA($D6:$I6)&lt;6,"",MAX(AW6:BA6))</x:f>
      </x:c>
      <x:c r="W6" s="283" t="str">
        <x:f>IF(V6="","",COUNTIF(AW6:BA6,"&gt;=3"))</x:f>
      </x:c>
      <x:c r="X6" s="283" t="str">
        <x:f>IF(V6="","",COUNTIF(AW6:BA6,"&gt;=4"))</x:f>
      </x:c>
      <x:c r="Y6" s="283" t="str">
        <x:f>IF(V6="","",COUNTIF(AW6:BA6,"&gt;=5"))</x:f>
      </x:c>
      <x:c r="Z6" s="283" t="str">
        <x:f>IF(COUNTA($D6:$I6)&lt;6,"",MAX(BC6:BG6))</x:f>
      </x:c>
      <x:c r="AA6" s="283" t="str">
        <x:f>IF(Z6="","",COUNTIF(BC6:BG6,"&gt;=3"))</x:f>
      </x:c>
      <x:c r="AB6" s="283" t="str">
        <x:f>IF(Z6="","",COUNTIF(BC6:BG6,"&gt;=4"))</x:f>
      </x:c>
      <x:c r="AC6" s="284" t="str">
        <x:f>IF(Z6="","",COUNTIF(BC6:BG6,"&gt;=5"))</x:f>
      </x:c>
      <x:c r="AE6" t="str">
        <x:f>IF(COUNTA($D6:$I6)&lt;6,"",COUNTIF($D6:$I6,'5모델 고정세트'!$G$2)+COUNTIF($D6:$I6,'5모델 고정세트'!$H$2)+COUNTIF($D6:$I6,'5모델 고정세트'!$I$2)+COUNTIF($D6:$I6,'5모델 고정세트'!$J$2)+COUNTIF($D6:$I6,'5모델 고정세트'!$K$2)+COUNTIF($D6:$I6,'5모델 고정세트'!$L$2))</x:f>
      </x:c>
      <x:c r="AF6" t="str">
        <x:f>IF(COUNTA($D6:$I6)&lt;6,"",COUNTIF($D6:$I6,'5모델 고정세트'!$G$3)+COUNTIF($D6:$I6,'5모델 고정세트'!$H$3)+COUNTIF($D6:$I6,'5모델 고정세트'!$I$3)+COUNTIF($D6:$I6,'5모델 고정세트'!$J$3)+COUNTIF($D6:$I6,'5모델 고정세트'!$K$3)+COUNTIF($D6:$I6,'5모델 고정세트'!$L$3))</x:f>
      </x:c>
      <x:c r="AG6" t="str">
        <x:f>IF(COUNTA($D6:$I6)&lt;6,"",COUNTIF($D6:$I6,'5모델 고정세트'!$G$4)+COUNTIF($D6:$I6,'5모델 고정세트'!$H$4)+COUNTIF($D6:$I6,'5모델 고정세트'!$I$4)+COUNTIF($D6:$I6,'5모델 고정세트'!$J$4)+COUNTIF($D6:$I6,'5모델 고정세트'!$K$4)+COUNTIF($D6:$I6,'5모델 고정세트'!$L$4))</x:f>
      </x:c>
      <x:c r="AH6" t="str">
        <x:f>IF(COUNTA($D6:$I6)&lt;6,"",COUNTIF($D6:$I6,'5모델 고정세트'!$G$5)+COUNTIF($D6:$I6,'5모델 고정세트'!$H$5)+COUNTIF($D6:$I6,'5모델 고정세트'!$I$5)+COUNTIF($D6:$I6,'5모델 고정세트'!$J$5)+COUNTIF($D6:$I6,'5모델 고정세트'!$K$5)+COUNTIF($D6:$I6,'5모델 고정세트'!$L$5))</x:f>
      </x:c>
      <x:c r="AI6" t="str">
        <x:f>IF(COUNTA($D6:$I6)&lt;6,"",COUNTIF($D6:$I6,'5모델 고정세트'!$G$6)+COUNTIF($D6:$I6,'5모델 고정세트'!$H$6)+COUNTIF($D6:$I6,'5모델 고정세트'!$I$6)+COUNTIF($D6:$I6,'5모델 고정세트'!$J$6)+COUNTIF($D6:$I6,'5모델 고정세트'!$K$6)+COUNTIF($D6:$I6,'5모델 고정세트'!$L$6))</x:f>
      </x:c>
      <x:c r="AK6" t="str">
        <x:f>IF(COUNTA($D6:$I6)&lt;6,"",COUNTIF($D6:$I6,'5모델 고정세트'!$G$7)+COUNTIF($D6:$I6,'5모델 고정세트'!$H$7)+COUNTIF($D6:$I6,'5모델 고정세트'!$I$7)+COUNTIF($D6:$I6,'5모델 고정세트'!$J$7)+COUNTIF($D6:$I6,'5모델 고정세트'!$K$7)+COUNTIF($D6:$I6,'5모델 고정세트'!$L$7))</x:f>
      </x:c>
      <x:c r="AL6" t="str">
        <x:f>IF(COUNTA($D6:$I6)&lt;6,"",COUNTIF($D6:$I6,'5모델 고정세트'!$G$8)+COUNTIF($D6:$I6,'5모델 고정세트'!$H$8)+COUNTIF($D6:$I6,'5모델 고정세트'!$I$8)+COUNTIF($D6:$I6,'5모델 고정세트'!$J$8)+COUNTIF($D6:$I6,'5모델 고정세트'!$K$8)+COUNTIF($D6:$I6,'5모델 고정세트'!$L$8))</x:f>
      </x:c>
      <x:c r="AM6" t="str">
        <x:f>IF(COUNTA($D6:$I6)&lt;6,"",COUNTIF($D6:$I6,'5모델 고정세트'!$G$9)+COUNTIF($D6:$I6,'5모델 고정세트'!$H$9)+COUNTIF($D6:$I6,'5모델 고정세트'!$I$9)+COUNTIF($D6:$I6,'5모델 고정세트'!$J$9)+COUNTIF($D6:$I6,'5모델 고정세트'!$K$9)+COUNTIF($D6:$I6,'5모델 고정세트'!$L$9))</x:f>
      </x:c>
      <x:c r="AN6" t="str">
        <x:f>IF(COUNTA($D6:$I6)&lt;6,"",COUNTIF($D6:$I6,'5모델 고정세트'!$G$10)+COUNTIF($D6:$I6,'5모델 고정세트'!$H$10)+COUNTIF($D6:$I6,'5모델 고정세트'!$I$10)+COUNTIF($D6:$I6,'5모델 고정세트'!$J$10)+COUNTIF($D6:$I6,'5모델 고정세트'!$K$10)+COUNTIF($D6:$I6,'5모델 고정세트'!$L$10))</x:f>
      </x:c>
      <x:c r="AO6" t="str">
        <x:f>IF(COUNTA($D6:$I6)&lt;6,"",COUNTIF($D6:$I6,'5모델 고정세트'!$G$11)+COUNTIF($D6:$I6,'5모델 고정세트'!$H$11)+COUNTIF($D6:$I6,'5모델 고정세트'!$I$11)+COUNTIF($D6:$I6,'5모델 고정세트'!$J$11)+COUNTIF($D6:$I6,'5모델 고정세트'!$K$11)+COUNTIF($D6:$I6,'5모델 고정세트'!$L$11))</x:f>
      </x:c>
      <x:c r="AQ6" t="str">
        <x:f>IF(COUNTA($D6:$I6)&lt;6,"",COUNTIF($D6:$I6,'5모델 고정세트'!$G$12)+COUNTIF($D6:$I6,'5모델 고정세트'!$H$12)+COUNTIF($D6:$I6,'5모델 고정세트'!$I$12)+COUNTIF($D6:$I6,'5모델 고정세트'!$J$12)+COUNTIF($D6:$I6,'5모델 고정세트'!$K$12)+COUNTIF($D6:$I6,'5모델 고정세트'!$L$12))</x:f>
      </x:c>
      <x:c r="AR6" t="str">
        <x:f>IF(COUNTA($D6:$I6)&lt;6,"",COUNTIF($D6:$I6,'5모델 고정세트'!$G$13)+COUNTIF($D6:$I6,'5모델 고정세트'!$H$13)+COUNTIF($D6:$I6,'5모델 고정세트'!$I$13)+COUNTIF($D6:$I6,'5모델 고정세트'!$J$13)+COUNTIF($D6:$I6,'5모델 고정세트'!$K$13)+COUNTIF($D6:$I6,'5모델 고정세트'!$L$13))</x:f>
      </x:c>
      <x:c r="AS6" t="str">
        <x:f>IF(COUNTA($D6:$I6)&lt;6,"",COUNTIF($D6:$I6,'5모델 고정세트'!$G$14)+COUNTIF($D6:$I6,'5모델 고정세트'!$H$14)+COUNTIF($D6:$I6,'5모델 고정세트'!$I$14)+COUNTIF($D6:$I6,'5모델 고정세트'!$J$14)+COUNTIF($D6:$I6,'5모델 고정세트'!$K$14)+COUNTIF($D6:$I6,'5모델 고정세트'!$L$14))</x:f>
      </x:c>
      <x:c r="AT6" t="str">
        <x:f>IF(COUNTA($D6:$I6)&lt;6,"",COUNTIF($D6:$I6,'5모델 고정세트'!$G$15)+COUNTIF($D6:$I6,'5모델 고정세트'!$H$15)+COUNTIF($D6:$I6,'5모델 고정세트'!$I$15)+COUNTIF($D6:$I6,'5모델 고정세트'!$J$15)+COUNTIF($D6:$I6,'5모델 고정세트'!$K$15)+COUNTIF($D6:$I6,'5모델 고정세트'!$L$15))</x:f>
      </x:c>
      <x:c r="AU6" t="str">
        <x:f>IF(COUNTA($D6:$I6)&lt;6,"",COUNTIF($D6:$I6,'5모델 고정세트'!$G$16)+COUNTIF($D6:$I6,'5모델 고정세트'!$H$16)+COUNTIF($D6:$I6,'5모델 고정세트'!$I$16)+COUNTIF($D6:$I6,'5모델 고정세트'!$J$16)+COUNTIF($D6:$I6,'5모델 고정세트'!$K$16)+COUNTIF($D6:$I6,'5모델 고정세트'!$L$16))</x:f>
      </x:c>
      <x:c r="AW6" t="str">
        <x:f>IF(COUNTA($D6:$I6)&lt;6,"",COUNTIF($D6:$I6,'5모델 고정세트'!$G$17)+COUNTIF($D6:$I6,'5모델 고정세트'!$H$17)+COUNTIF($D6:$I6,'5모델 고정세트'!$I$17)+COUNTIF($D6:$I6,'5모델 고정세트'!$J$17)+COUNTIF($D6:$I6,'5모델 고정세트'!$K$17)+COUNTIF($D6:$I6,'5모델 고정세트'!$L$17))</x:f>
      </x:c>
      <x:c r="AX6" t="str">
        <x:f>IF(COUNTA($D6:$I6)&lt;6,"",COUNTIF($D6:$I6,'5모델 고정세트'!$G$18)+COUNTIF($D6:$I6,'5모델 고정세트'!$H$18)+COUNTIF($D6:$I6,'5모델 고정세트'!$I$18)+COUNTIF($D6:$I6,'5모델 고정세트'!$J$18)+COUNTIF($D6:$I6,'5모델 고정세트'!$K$18)+COUNTIF($D6:$I6,'5모델 고정세트'!$L$18))</x:f>
      </x:c>
      <x:c r="AY6" t="str">
        <x:f>IF(COUNTA($D6:$I6)&lt;6,"",COUNTIF($D6:$I6,'5모델 고정세트'!$G$19)+COUNTIF($D6:$I6,'5모델 고정세트'!$H$19)+COUNTIF($D6:$I6,'5모델 고정세트'!$I$19)+COUNTIF($D6:$I6,'5모델 고정세트'!$J$19)+COUNTIF($D6:$I6,'5모델 고정세트'!$K$19)+COUNTIF($D6:$I6,'5모델 고정세트'!$L$19))</x:f>
      </x:c>
      <x:c r="AZ6" t="str">
        <x:f>IF(COUNTA($D6:$I6)&lt;6,"",COUNTIF($D6:$I6,'5모델 고정세트'!$G$20)+COUNTIF($D6:$I6,'5모델 고정세트'!$H$20)+COUNTIF($D6:$I6,'5모델 고정세트'!$I$20)+COUNTIF($D6:$I6,'5모델 고정세트'!$J$20)+COUNTIF($D6:$I6,'5모델 고정세트'!$K$20)+COUNTIF($D6:$I6,'5모델 고정세트'!$L$20))</x:f>
      </x:c>
      <x:c r="BA6" t="str">
        <x:f>IF(COUNTA($D6:$I6)&lt;6,"",COUNTIF($D6:$I6,'5모델 고정세트'!$G$21)+COUNTIF($D6:$I6,'5모델 고정세트'!$H$21)+COUNTIF($D6:$I6,'5모델 고정세트'!$I$21)+COUNTIF($D6:$I6,'5모델 고정세트'!$J$21)+COUNTIF($D6:$I6,'5모델 고정세트'!$K$21)+COUNTIF($D6:$I6,'5모델 고정세트'!$L$21))</x:f>
      </x:c>
      <x:c r="BC6" t="str">
        <x:f>IF(COUNTA($D6:$I6)&lt;6,"",COUNTIF($D6:$I6,'5모델 고정세트'!$G$22)+COUNTIF($D6:$I6,'5모델 고정세트'!$H$22)+COUNTIF($D6:$I6,'5모델 고정세트'!$I$22)+COUNTIF($D6:$I6,'5모델 고정세트'!$J$22)+COUNTIF($D6:$I6,'5모델 고정세트'!$K$22)+COUNTIF($D6:$I6,'5모델 고정세트'!$L$22))</x:f>
      </x:c>
      <x:c r="BD6" t="str">
        <x:f>IF(COUNTA($D6:$I6)&lt;6,"",COUNTIF($D6:$I6,'5모델 고정세트'!$G$23)+COUNTIF($D6:$I6,'5모델 고정세트'!$H$23)+COUNTIF($D6:$I6,'5모델 고정세트'!$I$23)+COUNTIF($D6:$I6,'5모델 고정세트'!$J$23)+COUNTIF($D6:$I6,'5모델 고정세트'!$K$23)+COUNTIF($D6:$I6,'5모델 고정세트'!$L$23))</x:f>
      </x:c>
      <x:c r="BE6" t="str">
        <x:f>IF(COUNTA($D6:$I6)&lt;6,"",COUNTIF($D6:$I6,'5모델 고정세트'!$G$24)+COUNTIF($D6:$I6,'5모델 고정세트'!$H$24)+COUNTIF($D6:$I6,'5모델 고정세트'!$I$24)+COUNTIF($D6:$I6,'5모델 고정세트'!$J$24)+COUNTIF($D6:$I6,'5모델 고정세트'!$K$24)+COUNTIF($D6:$I6,'5모델 고정세트'!$L$24))</x:f>
      </x:c>
      <x:c r="BF6" t="str">
        <x:f>IF(COUNTA($D6:$I6)&lt;6,"",COUNTIF($D6:$I6,'5모델 고정세트'!$G$25)+COUNTIF($D6:$I6,'5모델 고정세트'!$H$25)+COUNTIF($D6:$I6,'5모델 고정세트'!$I$25)+COUNTIF($D6:$I6,'5모델 고정세트'!$J$25)+COUNTIF($D6:$I6,'5모델 고정세트'!$K$25)+COUNTIF($D6:$I6,'5모델 고정세트'!$L$25))</x:f>
      </x:c>
      <x:c r="BG6" t="str">
        <x:f>IF(COUNTA($D6:$I6)&lt;6,"",COUNTIF($D6:$I6,'5모델 고정세트'!$G$26)+COUNTIF($D6:$I6,'5모델 고정세트'!$H$26)+COUNTIF($D6:$I6,'5모델 고정세트'!$I$26)+COUNTIF($D6:$I6,'5모델 고정세트'!$J$26)+COUNTIF($D6:$I6,'5모델 고정세트'!$K$26)+COUNTIF($D6:$I6,'5모델 고정세트'!$L$26))</x:f>
      </x:c>
    </x:row>
    <x:row r="7">
      <x:c r="A7" s="282" t="n">
        <x:v>1239</x:v>
      </x:c>
      <x:c r="B7" s="283" t="str">
        <x:v>2026-08-29</x:v>
      </x:c>
      <x:c r="C7" s="283" t="str">
        <x:f>IF(COUNTA(D7:I7)=6,"확정","대기")</x:f>
        <x:v>대기</x:v>
      </x:c>
      <x:c r="D7" s="283"/>
      <x:c r="E7" s="283"/>
      <x:c r="F7" s="283"/>
      <x:c r="G7" s="283"/>
      <x:c r="H7" s="283"/>
      <x:c r="I7" s="283"/>
      <x:c r="J7" s="283" t="str">
        <x:f>IF(COUNTA($D7:$I7)&lt;6,"",MAX(AE7:AI7))</x:f>
      </x:c>
      <x:c r="K7" s="283" t="str">
        <x:f>IF(J7="","",COUNTIF(AE7:AI7,"&gt;=3"))</x:f>
      </x:c>
      <x:c r="L7" s="283" t="str">
        <x:f>IF(J7="","",COUNTIF(AE7:AI7,"&gt;=4"))</x:f>
      </x:c>
      <x:c r="M7" s="283" t="str">
        <x:f>IF(J7="","",COUNTIF(AE7:AI7,"&gt;=5"))</x:f>
      </x:c>
      <x:c r="N7" s="283" t="str">
        <x:f>IF(COUNTA($D7:$I7)&lt;6,"",MAX(AK7:AO7))</x:f>
      </x:c>
      <x:c r="O7" s="283" t="str">
        <x:f>IF(N7="","",COUNTIF(AK7:AO7,"&gt;=3"))</x:f>
      </x:c>
      <x:c r="P7" s="283" t="str">
        <x:f>IF(N7="","",COUNTIF(AK7:AO7,"&gt;=4"))</x:f>
      </x:c>
      <x:c r="Q7" s="283" t="str">
        <x:f>IF(N7="","",COUNTIF(AK7:AO7,"&gt;=5"))</x:f>
      </x:c>
      <x:c r="R7" s="283" t="str">
        <x:f>IF(COUNTA($D7:$I7)&lt;6,"",MAX(AQ7:AU7))</x:f>
      </x:c>
      <x:c r="S7" s="283" t="str">
        <x:f>IF(R7="","",COUNTIF(AQ7:AU7,"&gt;=3"))</x:f>
      </x:c>
      <x:c r="T7" s="283" t="str">
        <x:f>IF(R7="","",COUNTIF(AQ7:AU7,"&gt;=4"))</x:f>
      </x:c>
      <x:c r="U7" s="283" t="str">
        <x:f>IF(R7="","",COUNTIF(AQ7:AU7,"&gt;=5"))</x:f>
      </x:c>
      <x:c r="V7" s="283" t="str">
        <x:f>IF(COUNTA($D7:$I7)&lt;6,"",MAX(AW7:BA7))</x:f>
      </x:c>
      <x:c r="W7" s="283" t="str">
        <x:f>IF(V7="","",COUNTIF(AW7:BA7,"&gt;=3"))</x:f>
      </x:c>
      <x:c r="X7" s="283" t="str">
        <x:f>IF(V7="","",COUNTIF(AW7:BA7,"&gt;=4"))</x:f>
      </x:c>
      <x:c r="Y7" s="283" t="str">
        <x:f>IF(V7="","",COUNTIF(AW7:BA7,"&gt;=5"))</x:f>
      </x:c>
      <x:c r="Z7" s="283" t="str">
        <x:f>IF(COUNTA($D7:$I7)&lt;6,"",MAX(BC7:BG7))</x:f>
      </x:c>
      <x:c r="AA7" s="283" t="str">
        <x:f>IF(Z7="","",COUNTIF(BC7:BG7,"&gt;=3"))</x:f>
      </x:c>
      <x:c r="AB7" s="283" t="str">
        <x:f>IF(Z7="","",COUNTIF(BC7:BG7,"&gt;=4"))</x:f>
      </x:c>
      <x:c r="AC7" s="284" t="str">
        <x:f>IF(Z7="","",COUNTIF(BC7:BG7,"&gt;=5"))</x:f>
      </x:c>
      <x:c r="AE7" t="str">
        <x:f>IF(COUNTA($D7:$I7)&lt;6,"",COUNTIF($D7:$I7,'5모델 고정세트'!$G$2)+COUNTIF($D7:$I7,'5모델 고정세트'!$H$2)+COUNTIF($D7:$I7,'5모델 고정세트'!$I$2)+COUNTIF($D7:$I7,'5모델 고정세트'!$J$2)+COUNTIF($D7:$I7,'5모델 고정세트'!$K$2)+COUNTIF($D7:$I7,'5모델 고정세트'!$L$2))</x:f>
      </x:c>
      <x:c r="AF7" t="str">
        <x:f>IF(COUNTA($D7:$I7)&lt;6,"",COUNTIF($D7:$I7,'5모델 고정세트'!$G$3)+COUNTIF($D7:$I7,'5모델 고정세트'!$H$3)+COUNTIF($D7:$I7,'5모델 고정세트'!$I$3)+COUNTIF($D7:$I7,'5모델 고정세트'!$J$3)+COUNTIF($D7:$I7,'5모델 고정세트'!$K$3)+COUNTIF($D7:$I7,'5모델 고정세트'!$L$3))</x:f>
      </x:c>
      <x:c r="AG7" t="str">
        <x:f>IF(COUNTA($D7:$I7)&lt;6,"",COUNTIF($D7:$I7,'5모델 고정세트'!$G$4)+COUNTIF($D7:$I7,'5모델 고정세트'!$H$4)+COUNTIF($D7:$I7,'5모델 고정세트'!$I$4)+COUNTIF($D7:$I7,'5모델 고정세트'!$J$4)+COUNTIF($D7:$I7,'5모델 고정세트'!$K$4)+COUNTIF($D7:$I7,'5모델 고정세트'!$L$4))</x:f>
      </x:c>
      <x:c r="AH7" t="str">
        <x:f>IF(COUNTA($D7:$I7)&lt;6,"",COUNTIF($D7:$I7,'5모델 고정세트'!$G$5)+COUNTIF($D7:$I7,'5모델 고정세트'!$H$5)+COUNTIF($D7:$I7,'5모델 고정세트'!$I$5)+COUNTIF($D7:$I7,'5모델 고정세트'!$J$5)+COUNTIF($D7:$I7,'5모델 고정세트'!$K$5)+COUNTIF($D7:$I7,'5모델 고정세트'!$L$5))</x:f>
      </x:c>
      <x:c r="AI7" t="str">
        <x:f>IF(COUNTA($D7:$I7)&lt;6,"",COUNTIF($D7:$I7,'5모델 고정세트'!$G$6)+COUNTIF($D7:$I7,'5모델 고정세트'!$H$6)+COUNTIF($D7:$I7,'5모델 고정세트'!$I$6)+COUNTIF($D7:$I7,'5모델 고정세트'!$J$6)+COUNTIF($D7:$I7,'5모델 고정세트'!$K$6)+COUNTIF($D7:$I7,'5모델 고정세트'!$L$6))</x:f>
      </x:c>
      <x:c r="AK7" t="str">
        <x:f>IF(COUNTA($D7:$I7)&lt;6,"",COUNTIF($D7:$I7,'5모델 고정세트'!$G$7)+COUNTIF($D7:$I7,'5모델 고정세트'!$H$7)+COUNTIF($D7:$I7,'5모델 고정세트'!$I$7)+COUNTIF($D7:$I7,'5모델 고정세트'!$J$7)+COUNTIF($D7:$I7,'5모델 고정세트'!$K$7)+COUNTIF($D7:$I7,'5모델 고정세트'!$L$7))</x:f>
      </x:c>
      <x:c r="AL7" t="str">
        <x:f>IF(COUNTA($D7:$I7)&lt;6,"",COUNTIF($D7:$I7,'5모델 고정세트'!$G$8)+COUNTIF($D7:$I7,'5모델 고정세트'!$H$8)+COUNTIF($D7:$I7,'5모델 고정세트'!$I$8)+COUNTIF($D7:$I7,'5모델 고정세트'!$J$8)+COUNTIF($D7:$I7,'5모델 고정세트'!$K$8)+COUNTIF($D7:$I7,'5모델 고정세트'!$L$8))</x:f>
      </x:c>
      <x:c r="AM7" t="str">
        <x:f>IF(COUNTA($D7:$I7)&lt;6,"",COUNTIF($D7:$I7,'5모델 고정세트'!$G$9)+COUNTIF($D7:$I7,'5모델 고정세트'!$H$9)+COUNTIF($D7:$I7,'5모델 고정세트'!$I$9)+COUNTIF($D7:$I7,'5모델 고정세트'!$J$9)+COUNTIF($D7:$I7,'5모델 고정세트'!$K$9)+COUNTIF($D7:$I7,'5모델 고정세트'!$L$9))</x:f>
      </x:c>
      <x:c r="AN7" t="str">
        <x:f>IF(COUNTA($D7:$I7)&lt;6,"",COUNTIF($D7:$I7,'5모델 고정세트'!$G$10)+COUNTIF($D7:$I7,'5모델 고정세트'!$H$10)+COUNTIF($D7:$I7,'5모델 고정세트'!$I$10)+COUNTIF($D7:$I7,'5모델 고정세트'!$J$10)+COUNTIF($D7:$I7,'5모델 고정세트'!$K$10)+COUNTIF($D7:$I7,'5모델 고정세트'!$L$10))</x:f>
      </x:c>
      <x:c r="AO7" t="str">
        <x:f>IF(COUNTA($D7:$I7)&lt;6,"",COUNTIF($D7:$I7,'5모델 고정세트'!$G$11)+COUNTIF($D7:$I7,'5모델 고정세트'!$H$11)+COUNTIF($D7:$I7,'5모델 고정세트'!$I$11)+COUNTIF($D7:$I7,'5모델 고정세트'!$J$11)+COUNTIF($D7:$I7,'5모델 고정세트'!$K$11)+COUNTIF($D7:$I7,'5모델 고정세트'!$L$11))</x:f>
      </x:c>
      <x:c r="AQ7" t="str">
        <x:f>IF(COUNTA($D7:$I7)&lt;6,"",COUNTIF($D7:$I7,'5모델 고정세트'!$G$12)+COUNTIF($D7:$I7,'5모델 고정세트'!$H$12)+COUNTIF($D7:$I7,'5모델 고정세트'!$I$12)+COUNTIF($D7:$I7,'5모델 고정세트'!$J$12)+COUNTIF($D7:$I7,'5모델 고정세트'!$K$12)+COUNTIF($D7:$I7,'5모델 고정세트'!$L$12))</x:f>
      </x:c>
      <x:c r="AR7" t="str">
        <x:f>IF(COUNTA($D7:$I7)&lt;6,"",COUNTIF($D7:$I7,'5모델 고정세트'!$G$13)+COUNTIF($D7:$I7,'5모델 고정세트'!$H$13)+COUNTIF($D7:$I7,'5모델 고정세트'!$I$13)+COUNTIF($D7:$I7,'5모델 고정세트'!$J$13)+COUNTIF($D7:$I7,'5모델 고정세트'!$K$13)+COUNTIF($D7:$I7,'5모델 고정세트'!$L$13))</x:f>
      </x:c>
      <x:c r="AS7" t="str">
        <x:f>IF(COUNTA($D7:$I7)&lt;6,"",COUNTIF($D7:$I7,'5모델 고정세트'!$G$14)+COUNTIF($D7:$I7,'5모델 고정세트'!$H$14)+COUNTIF($D7:$I7,'5모델 고정세트'!$I$14)+COUNTIF($D7:$I7,'5모델 고정세트'!$J$14)+COUNTIF($D7:$I7,'5모델 고정세트'!$K$14)+COUNTIF($D7:$I7,'5모델 고정세트'!$L$14))</x:f>
      </x:c>
      <x:c r="AT7" t="str">
        <x:f>IF(COUNTA($D7:$I7)&lt;6,"",COUNTIF($D7:$I7,'5모델 고정세트'!$G$15)+COUNTIF($D7:$I7,'5모델 고정세트'!$H$15)+COUNTIF($D7:$I7,'5모델 고정세트'!$I$15)+COUNTIF($D7:$I7,'5모델 고정세트'!$J$15)+COUNTIF($D7:$I7,'5모델 고정세트'!$K$15)+COUNTIF($D7:$I7,'5모델 고정세트'!$L$15))</x:f>
      </x:c>
      <x:c r="AU7" t="str">
        <x:f>IF(COUNTA($D7:$I7)&lt;6,"",COUNTIF($D7:$I7,'5모델 고정세트'!$G$16)+COUNTIF($D7:$I7,'5모델 고정세트'!$H$16)+COUNTIF($D7:$I7,'5모델 고정세트'!$I$16)+COUNTIF($D7:$I7,'5모델 고정세트'!$J$16)+COUNTIF($D7:$I7,'5모델 고정세트'!$K$16)+COUNTIF($D7:$I7,'5모델 고정세트'!$L$16))</x:f>
      </x:c>
      <x:c r="AW7" t="str">
        <x:f>IF(COUNTA($D7:$I7)&lt;6,"",COUNTIF($D7:$I7,'5모델 고정세트'!$G$17)+COUNTIF($D7:$I7,'5모델 고정세트'!$H$17)+COUNTIF($D7:$I7,'5모델 고정세트'!$I$17)+COUNTIF($D7:$I7,'5모델 고정세트'!$J$17)+COUNTIF($D7:$I7,'5모델 고정세트'!$K$17)+COUNTIF($D7:$I7,'5모델 고정세트'!$L$17))</x:f>
      </x:c>
      <x:c r="AX7" t="str">
        <x:f>IF(COUNTA($D7:$I7)&lt;6,"",COUNTIF($D7:$I7,'5모델 고정세트'!$G$18)+COUNTIF($D7:$I7,'5모델 고정세트'!$H$18)+COUNTIF($D7:$I7,'5모델 고정세트'!$I$18)+COUNTIF($D7:$I7,'5모델 고정세트'!$J$18)+COUNTIF($D7:$I7,'5모델 고정세트'!$K$18)+COUNTIF($D7:$I7,'5모델 고정세트'!$L$18))</x:f>
      </x:c>
      <x:c r="AY7" t="str">
        <x:f>IF(COUNTA($D7:$I7)&lt;6,"",COUNTIF($D7:$I7,'5모델 고정세트'!$G$19)+COUNTIF($D7:$I7,'5모델 고정세트'!$H$19)+COUNTIF($D7:$I7,'5모델 고정세트'!$I$19)+COUNTIF($D7:$I7,'5모델 고정세트'!$J$19)+COUNTIF($D7:$I7,'5모델 고정세트'!$K$19)+COUNTIF($D7:$I7,'5모델 고정세트'!$L$19))</x:f>
      </x:c>
      <x:c r="AZ7" t="str">
        <x:f>IF(COUNTA($D7:$I7)&lt;6,"",COUNTIF($D7:$I7,'5모델 고정세트'!$G$20)+COUNTIF($D7:$I7,'5모델 고정세트'!$H$20)+COUNTIF($D7:$I7,'5모델 고정세트'!$I$20)+COUNTIF($D7:$I7,'5모델 고정세트'!$J$20)+COUNTIF($D7:$I7,'5모델 고정세트'!$K$20)+COUNTIF($D7:$I7,'5모델 고정세트'!$L$20))</x:f>
      </x:c>
      <x:c r="BA7" t="str">
        <x:f>IF(COUNTA($D7:$I7)&lt;6,"",COUNTIF($D7:$I7,'5모델 고정세트'!$G$21)+COUNTIF($D7:$I7,'5모델 고정세트'!$H$21)+COUNTIF($D7:$I7,'5모델 고정세트'!$I$21)+COUNTIF($D7:$I7,'5모델 고정세트'!$J$21)+COUNTIF($D7:$I7,'5모델 고정세트'!$K$21)+COUNTIF($D7:$I7,'5모델 고정세트'!$L$21))</x:f>
      </x:c>
      <x:c r="BC7" t="str">
        <x:f>IF(COUNTA($D7:$I7)&lt;6,"",COUNTIF($D7:$I7,'5모델 고정세트'!$G$22)+COUNTIF($D7:$I7,'5모델 고정세트'!$H$22)+COUNTIF($D7:$I7,'5모델 고정세트'!$I$22)+COUNTIF($D7:$I7,'5모델 고정세트'!$J$22)+COUNTIF($D7:$I7,'5모델 고정세트'!$K$22)+COUNTIF($D7:$I7,'5모델 고정세트'!$L$22))</x:f>
      </x:c>
      <x:c r="BD7" t="str">
        <x:f>IF(COUNTA($D7:$I7)&lt;6,"",COUNTIF($D7:$I7,'5모델 고정세트'!$G$23)+COUNTIF($D7:$I7,'5모델 고정세트'!$H$23)+COUNTIF($D7:$I7,'5모델 고정세트'!$I$23)+COUNTIF($D7:$I7,'5모델 고정세트'!$J$23)+COUNTIF($D7:$I7,'5모델 고정세트'!$K$23)+COUNTIF($D7:$I7,'5모델 고정세트'!$L$23))</x:f>
      </x:c>
      <x:c r="BE7" t="str">
        <x:f>IF(COUNTA($D7:$I7)&lt;6,"",COUNTIF($D7:$I7,'5모델 고정세트'!$G$24)+COUNTIF($D7:$I7,'5모델 고정세트'!$H$24)+COUNTIF($D7:$I7,'5모델 고정세트'!$I$24)+COUNTIF($D7:$I7,'5모델 고정세트'!$J$24)+COUNTIF($D7:$I7,'5모델 고정세트'!$K$24)+COUNTIF($D7:$I7,'5모델 고정세트'!$L$24))</x:f>
      </x:c>
      <x:c r="BF7" t="str">
        <x:f>IF(COUNTA($D7:$I7)&lt;6,"",COUNTIF($D7:$I7,'5모델 고정세트'!$G$25)+COUNTIF($D7:$I7,'5모델 고정세트'!$H$25)+COUNTIF($D7:$I7,'5모델 고정세트'!$I$25)+COUNTIF($D7:$I7,'5모델 고정세트'!$J$25)+COUNTIF($D7:$I7,'5모델 고정세트'!$K$25)+COUNTIF($D7:$I7,'5모델 고정세트'!$L$25))</x:f>
      </x:c>
      <x:c r="BG7" t="str">
        <x:f>IF(COUNTA($D7:$I7)&lt;6,"",COUNTIF($D7:$I7,'5모델 고정세트'!$G$26)+COUNTIF($D7:$I7,'5모델 고정세트'!$H$26)+COUNTIF($D7:$I7,'5모델 고정세트'!$I$26)+COUNTIF($D7:$I7,'5모델 고정세트'!$J$26)+COUNTIF($D7:$I7,'5모델 고정세트'!$K$26)+COUNTIF($D7:$I7,'5모델 고정세트'!$L$26))</x:f>
      </x:c>
    </x:row>
    <x:row r="8">
      <x:c r="A8" s="282" t="n">
        <x:v>1240</x:v>
      </x:c>
      <x:c r="B8" s="283" t="str">
        <x:v>2026-09-05</x:v>
      </x:c>
      <x:c r="C8" s="283" t="str">
        <x:f>IF(COUNTA(D8:I8)=6,"확정","대기")</x:f>
        <x:v>대기</x:v>
      </x:c>
      <x:c r="D8" s="283"/>
      <x:c r="E8" s="283"/>
      <x:c r="F8" s="283"/>
      <x:c r="G8" s="283"/>
      <x:c r="H8" s="283"/>
      <x:c r="I8" s="283"/>
      <x:c r="J8" s="283" t="str">
        <x:f>IF(COUNTA($D8:$I8)&lt;6,"",MAX(AE8:AI8))</x:f>
      </x:c>
      <x:c r="K8" s="283" t="str">
        <x:f>IF(J8="","",COUNTIF(AE8:AI8,"&gt;=3"))</x:f>
      </x:c>
      <x:c r="L8" s="283" t="str">
        <x:f>IF(J8="","",COUNTIF(AE8:AI8,"&gt;=4"))</x:f>
      </x:c>
      <x:c r="M8" s="283" t="str">
        <x:f>IF(J8="","",COUNTIF(AE8:AI8,"&gt;=5"))</x:f>
      </x:c>
      <x:c r="N8" s="283" t="str">
        <x:f>IF(COUNTA($D8:$I8)&lt;6,"",MAX(AK8:AO8))</x:f>
      </x:c>
      <x:c r="O8" s="283" t="str">
        <x:f>IF(N8="","",COUNTIF(AK8:AO8,"&gt;=3"))</x:f>
      </x:c>
      <x:c r="P8" s="283" t="str">
        <x:f>IF(N8="","",COUNTIF(AK8:AO8,"&gt;=4"))</x:f>
      </x:c>
      <x:c r="Q8" s="283" t="str">
        <x:f>IF(N8="","",COUNTIF(AK8:AO8,"&gt;=5"))</x:f>
      </x:c>
      <x:c r="R8" s="283" t="str">
        <x:f>IF(COUNTA($D8:$I8)&lt;6,"",MAX(AQ8:AU8))</x:f>
      </x:c>
      <x:c r="S8" s="283" t="str">
        <x:f>IF(R8="","",COUNTIF(AQ8:AU8,"&gt;=3"))</x:f>
      </x:c>
      <x:c r="T8" s="283" t="str">
        <x:f>IF(R8="","",COUNTIF(AQ8:AU8,"&gt;=4"))</x:f>
      </x:c>
      <x:c r="U8" s="283" t="str">
        <x:f>IF(R8="","",COUNTIF(AQ8:AU8,"&gt;=5"))</x:f>
      </x:c>
      <x:c r="V8" s="283" t="str">
        <x:f>IF(COUNTA($D8:$I8)&lt;6,"",MAX(AW8:BA8))</x:f>
      </x:c>
      <x:c r="W8" s="283" t="str">
        <x:f>IF(V8="","",COUNTIF(AW8:BA8,"&gt;=3"))</x:f>
      </x:c>
      <x:c r="X8" s="283" t="str">
        <x:f>IF(V8="","",COUNTIF(AW8:BA8,"&gt;=4"))</x:f>
      </x:c>
      <x:c r="Y8" s="283" t="str">
        <x:f>IF(V8="","",COUNTIF(AW8:BA8,"&gt;=5"))</x:f>
      </x:c>
      <x:c r="Z8" s="283" t="str">
        <x:f>IF(COUNTA($D8:$I8)&lt;6,"",MAX(BC8:BG8))</x:f>
      </x:c>
      <x:c r="AA8" s="283" t="str">
        <x:f>IF(Z8="","",COUNTIF(BC8:BG8,"&gt;=3"))</x:f>
      </x:c>
      <x:c r="AB8" s="283" t="str">
        <x:f>IF(Z8="","",COUNTIF(BC8:BG8,"&gt;=4"))</x:f>
      </x:c>
      <x:c r="AC8" s="284" t="str">
        <x:f>IF(Z8="","",COUNTIF(BC8:BG8,"&gt;=5"))</x:f>
      </x:c>
      <x:c r="AE8" t="str">
        <x:f>IF(COUNTA($D8:$I8)&lt;6,"",COUNTIF($D8:$I8,'5모델 고정세트'!$G$2)+COUNTIF($D8:$I8,'5모델 고정세트'!$H$2)+COUNTIF($D8:$I8,'5모델 고정세트'!$I$2)+COUNTIF($D8:$I8,'5모델 고정세트'!$J$2)+COUNTIF($D8:$I8,'5모델 고정세트'!$K$2)+COUNTIF($D8:$I8,'5모델 고정세트'!$L$2))</x:f>
      </x:c>
      <x:c r="AF8" t="str">
        <x:f>IF(COUNTA($D8:$I8)&lt;6,"",COUNTIF($D8:$I8,'5모델 고정세트'!$G$3)+COUNTIF($D8:$I8,'5모델 고정세트'!$H$3)+COUNTIF($D8:$I8,'5모델 고정세트'!$I$3)+COUNTIF($D8:$I8,'5모델 고정세트'!$J$3)+COUNTIF($D8:$I8,'5모델 고정세트'!$K$3)+COUNTIF($D8:$I8,'5모델 고정세트'!$L$3))</x:f>
      </x:c>
      <x:c r="AG8" t="str">
        <x:f>IF(COUNTA($D8:$I8)&lt;6,"",COUNTIF($D8:$I8,'5모델 고정세트'!$G$4)+COUNTIF($D8:$I8,'5모델 고정세트'!$H$4)+COUNTIF($D8:$I8,'5모델 고정세트'!$I$4)+COUNTIF($D8:$I8,'5모델 고정세트'!$J$4)+COUNTIF($D8:$I8,'5모델 고정세트'!$K$4)+COUNTIF($D8:$I8,'5모델 고정세트'!$L$4))</x:f>
      </x:c>
      <x:c r="AH8" t="str">
        <x:f>IF(COUNTA($D8:$I8)&lt;6,"",COUNTIF($D8:$I8,'5모델 고정세트'!$G$5)+COUNTIF($D8:$I8,'5모델 고정세트'!$H$5)+COUNTIF($D8:$I8,'5모델 고정세트'!$I$5)+COUNTIF($D8:$I8,'5모델 고정세트'!$J$5)+COUNTIF($D8:$I8,'5모델 고정세트'!$K$5)+COUNTIF($D8:$I8,'5모델 고정세트'!$L$5))</x:f>
      </x:c>
      <x:c r="AI8" t="str">
        <x:f>IF(COUNTA($D8:$I8)&lt;6,"",COUNTIF($D8:$I8,'5모델 고정세트'!$G$6)+COUNTIF($D8:$I8,'5모델 고정세트'!$H$6)+COUNTIF($D8:$I8,'5모델 고정세트'!$I$6)+COUNTIF($D8:$I8,'5모델 고정세트'!$J$6)+COUNTIF($D8:$I8,'5모델 고정세트'!$K$6)+COUNTIF($D8:$I8,'5모델 고정세트'!$L$6))</x:f>
      </x:c>
      <x:c r="AK8" t="str">
        <x:f>IF(COUNTA($D8:$I8)&lt;6,"",COUNTIF($D8:$I8,'5모델 고정세트'!$G$7)+COUNTIF($D8:$I8,'5모델 고정세트'!$H$7)+COUNTIF($D8:$I8,'5모델 고정세트'!$I$7)+COUNTIF($D8:$I8,'5모델 고정세트'!$J$7)+COUNTIF($D8:$I8,'5모델 고정세트'!$K$7)+COUNTIF($D8:$I8,'5모델 고정세트'!$L$7))</x:f>
      </x:c>
      <x:c r="AL8" t="str">
        <x:f>IF(COUNTA($D8:$I8)&lt;6,"",COUNTIF($D8:$I8,'5모델 고정세트'!$G$8)+COUNTIF($D8:$I8,'5모델 고정세트'!$H$8)+COUNTIF($D8:$I8,'5모델 고정세트'!$I$8)+COUNTIF($D8:$I8,'5모델 고정세트'!$J$8)+COUNTIF($D8:$I8,'5모델 고정세트'!$K$8)+COUNTIF($D8:$I8,'5모델 고정세트'!$L$8))</x:f>
      </x:c>
      <x:c r="AM8" t="str">
        <x:f>IF(COUNTA($D8:$I8)&lt;6,"",COUNTIF($D8:$I8,'5모델 고정세트'!$G$9)+COUNTIF($D8:$I8,'5모델 고정세트'!$H$9)+COUNTIF($D8:$I8,'5모델 고정세트'!$I$9)+COUNTIF($D8:$I8,'5모델 고정세트'!$J$9)+COUNTIF($D8:$I8,'5모델 고정세트'!$K$9)+COUNTIF($D8:$I8,'5모델 고정세트'!$L$9))</x:f>
      </x:c>
      <x:c r="AN8" t="str">
        <x:f>IF(COUNTA($D8:$I8)&lt;6,"",COUNTIF($D8:$I8,'5모델 고정세트'!$G$10)+COUNTIF($D8:$I8,'5모델 고정세트'!$H$10)+COUNTIF($D8:$I8,'5모델 고정세트'!$I$10)+COUNTIF($D8:$I8,'5모델 고정세트'!$J$10)+COUNTIF($D8:$I8,'5모델 고정세트'!$K$10)+COUNTIF($D8:$I8,'5모델 고정세트'!$L$10))</x:f>
      </x:c>
      <x:c r="AO8" t="str">
        <x:f>IF(COUNTA($D8:$I8)&lt;6,"",COUNTIF($D8:$I8,'5모델 고정세트'!$G$11)+COUNTIF($D8:$I8,'5모델 고정세트'!$H$11)+COUNTIF($D8:$I8,'5모델 고정세트'!$I$11)+COUNTIF($D8:$I8,'5모델 고정세트'!$J$11)+COUNTIF($D8:$I8,'5모델 고정세트'!$K$11)+COUNTIF($D8:$I8,'5모델 고정세트'!$L$11))</x:f>
      </x:c>
      <x:c r="AQ8" t="str">
        <x:f>IF(COUNTA($D8:$I8)&lt;6,"",COUNTIF($D8:$I8,'5모델 고정세트'!$G$12)+COUNTIF($D8:$I8,'5모델 고정세트'!$H$12)+COUNTIF($D8:$I8,'5모델 고정세트'!$I$12)+COUNTIF($D8:$I8,'5모델 고정세트'!$J$12)+COUNTIF($D8:$I8,'5모델 고정세트'!$K$12)+COUNTIF($D8:$I8,'5모델 고정세트'!$L$12))</x:f>
      </x:c>
      <x:c r="AR8" t="str">
        <x:f>IF(COUNTA($D8:$I8)&lt;6,"",COUNTIF($D8:$I8,'5모델 고정세트'!$G$13)+COUNTIF($D8:$I8,'5모델 고정세트'!$H$13)+COUNTIF($D8:$I8,'5모델 고정세트'!$I$13)+COUNTIF($D8:$I8,'5모델 고정세트'!$J$13)+COUNTIF($D8:$I8,'5모델 고정세트'!$K$13)+COUNTIF($D8:$I8,'5모델 고정세트'!$L$13))</x:f>
      </x:c>
      <x:c r="AS8" t="str">
        <x:f>IF(COUNTA($D8:$I8)&lt;6,"",COUNTIF($D8:$I8,'5모델 고정세트'!$G$14)+COUNTIF($D8:$I8,'5모델 고정세트'!$H$14)+COUNTIF($D8:$I8,'5모델 고정세트'!$I$14)+COUNTIF($D8:$I8,'5모델 고정세트'!$J$14)+COUNTIF($D8:$I8,'5모델 고정세트'!$K$14)+COUNTIF($D8:$I8,'5모델 고정세트'!$L$14))</x:f>
      </x:c>
      <x:c r="AT8" t="str">
        <x:f>IF(COUNTA($D8:$I8)&lt;6,"",COUNTIF($D8:$I8,'5모델 고정세트'!$G$15)+COUNTIF($D8:$I8,'5모델 고정세트'!$H$15)+COUNTIF($D8:$I8,'5모델 고정세트'!$I$15)+COUNTIF($D8:$I8,'5모델 고정세트'!$J$15)+COUNTIF($D8:$I8,'5모델 고정세트'!$K$15)+COUNTIF($D8:$I8,'5모델 고정세트'!$L$15))</x:f>
      </x:c>
      <x:c r="AU8" t="str">
        <x:f>IF(COUNTA($D8:$I8)&lt;6,"",COUNTIF($D8:$I8,'5모델 고정세트'!$G$16)+COUNTIF($D8:$I8,'5모델 고정세트'!$H$16)+COUNTIF($D8:$I8,'5모델 고정세트'!$I$16)+COUNTIF($D8:$I8,'5모델 고정세트'!$J$16)+COUNTIF($D8:$I8,'5모델 고정세트'!$K$16)+COUNTIF($D8:$I8,'5모델 고정세트'!$L$16))</x:f>
      </x:c>
      <x:c r="AW8" t="str">
        <x:f>IF(COUNTA($D8:$I8)&lt;6,"",COUNTIF($D8:$I8,'5모델 고정세트'!$G$17)+COUNTIF($D8:$I8,'5모델 고정세트'!$H$17)+COUNTIF($D8:$I8,'5모델 고정세트'!$I$17)+COUNTIF($D8:$I8,'5모델 고정세트'!$J$17)+COUNTIF($D8:$I8,'5모델 고정세트'!$K$17)+COUNTIF($D8:$I8,'5모델 고정세트'!$L$17))</x:f>
      </x:c>
      <x:c r="AX8" t="str">
        <x:f>IF(COUNTA($D8:$I8)&lt;6,"",COUNTIF($D8:$I8,'5모델 고정세트'!$G$18)+COUNTIF($D8:$I8,'5모델 고정세트'!$H$18)+COUNTIF($D8:$I8,'5모델 고정세트'!$I$18)+COUNTIF($D8:$I8,'5모델 고정세트'!$J$18)+COUNTIF($D8:$I8,'5모델 고정세트'!$K$18)+COUNTIF($D8:$I8,'5모델 고정세트'!$L$18))</x:f>
      </x:c>
      <x:c r="AY8" t="str">
        <x:f>IF(COUNTA($D8:$I8)&lt;6,"",COUNTIF($D8:$I8,'5모델 고정세트'!$G$19)+COUNTIF($D8:$I8,'5모델 고정세트'!$H$19)+COUNTIF($D8:$I8,'5모델 고정세트'!$I$19)+COUNTIF($D8:$I8,'5모델 고정세트'!$J$19)+COUNTIF($D8:$I8,'5모델 고정세트'!$K$19)+COUNTIF($D8:$I8,'5모델 고정세트'!$L$19))</x:f>
      </x:c>
      <x:c r="AZ8" t="str">
        <x:f>IF(COUNTA($D8:$I8)&lt;6,"",COUNTIF($D8:$I8,'5모델 고정세트'!$G$20)+COUNTIF($D8:$I8,'5모델 고정세트'!$H$20)+COUNTIF($D8:$I8,'5모델 고정세트'!$I$20)+COUNTIF($D8:$I8,'5모델 고정세트'!$J$20)+COUNTIF($D8:$I8,'5모델 고정세트'!$K$20)+COUNTIF($D8:$I8,'5모델 고정세트'!$L$20))</x:f>
      </x:c>
      <x:c r="BA8" t="str">
        <x:f>IF(COUNTA($D8:$I8)&lt;6,"",COUNTIF($D8:$I8,'5모델 고정세트'!$G$21)+COUNTIF($D8:$I8,'5모델 고정세트'!$H$21)+COUNTIF($D8:$I8,'5모델 고정세트'!$I$21)+COUNTIF($D8:$I8,'5모델 고정세트'!$J$21)+COUNTIF($D8:$I8,'5모델 고정세트'!$K$21)+COUNTIF($D8:$I8,'5모델 고정세트'!$L$21))</x:f>
      </x:c>
      <x:c r="BC8" t="str">
        <x:f>IF(COUNTA($D8:$I8)&lt;6,"",COUNTIF($D8:$I8,'5모델 고정세트'!$G$22)+COUNTIF($D8:$I8,'5모델 고정세트'!$H$22)+COUNTIF($D8:$I8,'5모델 고정세트'!$I$22)+COUNTIF($D8:$I8,'5모델 고정세트'!$J$22)+COUNTIF($D8:$I8,'5모델 고정세트'!$K$22)+COUNTIF($D8:$I8,'5모델 고정세트'!$L$22))</x:f>
      </x:c>
      <x:c r="BD8" t="str">
        <x:f>IF(COUNTA($D8:$I8)&lt;6,"",COUNTIF($D8:$I8,'5모델 고정세트'!$G$23)+COUNTIF($D8:$I8,'5모델 고정세트'!$H$23)+COUNTIF($D8:$I8,'5모델 고정세트'!$I$23)+COUNTIF($D8:$I8,'5모델 고정세트'!$J$23)+COUNTIF($D8:$I8,'5모델 고정세트'!$K$23)+COUNTIF($D8:$I8,'5모델 고정세트'!$L$23))</x:f>
      </x:c>
      <x:c r="BE8" t="str">
        <x:f>IF(COUNTA($D8:$I8)&lt;6,"",COUNTIF($D8:$I8,'5모델 고정세트'!$G$24)+COUNTIF($D8:$I8,'5모델 고정세트'!$H$24)+COUNTIF($D8:$I8,'5모델 고정세트'!$I$24)+COUNTIF($D8:$I8,'5모델 고정세트'!$J$24)+COUNTIF($D8:$I8,'5모델 고정세트'!$K$24)+COUNTIF($D8:$I8,'5모델 고정세트'!$L$24))</x:f>
      </x:c>
      <x:c r="BF8" t="str">
        <x:f>IF(COUNTA($D8:$I8)&lt;6,"",COUNTIF($D8:$I8,'5모델 고정세트'!$G$25)+COUNTIF($D8:$I8,'5모델 고정세트'!$H$25)+COUNTIF($D8:$I8,'5모델 고정세트'!$I$25)+COUNTIF($D8:$I8,'5모델 고정세트'!$J$25)+COUNTIF($D8:$I8,'5모델 고정세트'!$K$25)+COUNTIF($D8:$I8,'5모델 고정세트'!$L$25))</x:f>
      </x:c>
      <x:c r="BG8" t="str">
        <x:f>IF(COUNTA($D8:$I8)&lt;6,"",COUNTIF($D8:$I8,'5모델 고정세트'!$G$26)+COUNTIF($D8:$I8,'5모델 고정세트'!$H$26)+COUNTIF($D8:$I8,'5모델 고정세트'!$I$26)+COUNTIF($D8:$I8,'5모델 고정세트'!$J$26)+COUNTIF($D8:$I8,'5모델 고정세트'!$K$26)+COUNTIF($D8:$I8,'5모델 고정세트'!$L$26))</x:f>
      </x:c>
    </x:row>
    <x:row r="9">
      <x:c r="A9" s="282" t="n">
        <x:v>1241</x:v>
      </x:c>
      <x:c r="B9" s="283" t="str">
        <x:v>2026-09-12</x:v>
      </x:c>
      <x:c r="C9" s="283" t="str">
        <x:f>IF(COUNTA(D9:I9)=6,"확정","대기")</x:f>
        <x:v>대기</x:v>
      </x:c>
      <x:c r="D9" s="283"/>
      <x:c r="E9" s="283"/>
      <x:c r="F9" s="283"/>
      <x:c r="G9" s="283"/>
      <x:c r="H9" s="283"/>
      <x:c r="I9" s="283"/>
      <x:c r="J9" s="283" t="str">
        <x:f>IF(COUNTA($D9:$I9)&lt;6,"",MAX(AE9:AI9))</x:f>
      </x:c>
      <x:c r="K9" s="283" t="str">
        <x:f>IF(J9="","",COUNTIF(AE9:AI9,"&gt;=3"))</x:f>
      </x:c>
      <x:c r="L9" s="283" t="str">
        <x:f>IF(J9="","",COUNTIF(AE9:AI9,"&gt;=4"))</x:f>
      </x:c>
      <x:c r="M9" s="283" t="str">
        <x:f>IF(J9="","",COUNTIF(AE9:AI9,"&gt;=5"))</x:f>
      </x:c>
      <x:c r="N9" s="283" t="str">
        <x:f>IF(COUNTA($D9:$I9)&lt;6,"",MAX(AK9:AO9))</x:f>
      </x:c>
      <x:c r="O9" s="283" t="str">
        <x:f>IF(N9="","",COUNTIF(AK9:AO9,"&gt;=3"))</x:f>
      </x:c>
      <x:c r="P9" s="283" t="str">
        <x:f>IF(N9="","",COUNTIF(AK9:AO9,"&gt;=4"))</x:f>
      </x:c>
      <x:c r="Q9" s="283" t="str">
        <x:f>IF(N9="","",COUNTIF(AK9:AO9,"&gt;=5"))</x:f>
      </x:c>
      <x:c r="R9" s="283" t="str">
        <x:f>IF(COUNTA($D9:$I9)&lt;6,"",MAX(AQ9:AU9))</x:f>
      </x:c>
      <x:c r="S9" s="283" t="str">
        <x:f>IF(R9="","",COUNTIF(AQ9:AU9,"&gt;=3"))</x:f>
      </x:c>
      <x:c r="T9" s="283" t="str">
        <x:f>IF(R9="","",COUNTIF(AQ9:AU9,"&gt;=4"))</x:f>
      </x:c>
      <x:c r="U9" s="283" t="str">
        <x:f>IF(R9="","",COUNTIF(AQ9:AU9,"&gt;=5"))</x:f>
      </x:c>
      <x:c r="V9" s="283" t="str">
        <x:f>IF(COUNTA($D9:$I9)&lt;6,"",MAX(AW9:BA9))</x:f>
      </x:c>
      <x:c r="W9" s="283" t="str">
        <x:f>IF(V9="","",COUNTIF(AW9:BA9,"&gt;=3"))</x:f>
      </x:c>
      <x:c r="X9" s="283" t="str">
        <x:f>IF(V9="","",COUNTIF(AW9:BA9,"&gt;=4"))</x:f>
      </x:c>
      <x:c r="Y9" s="283" t="str">
        <x:f>IF(V9="","",COUNTIF(AW9:BA9,"&gt;=5"))</x:f>
      </x:c>
      <x:c r="Z9" s="283" t="str">
        <x:f>IF(COUNTA($D9:$I9)&lt;6,"",MAX(BC9:BG9))</x:f>
      </x:c>
      <x:c r="AA9" s="283" t="str">
        <x:f>IF(Z9="","",COUNTIF(BC9:BG9,"&gt;=3"))</x:f>
      </x:c>
      <x:c r="AB9" s="283" t="str">
        <x:f>IF(Z9="","",COUNTIF(BC9:BG9,"&gt;=4"))</x:f>
      </x:c>
      <x:c r="AC9" s="284" t="str">
        <x:f>IF(Z9="","",COUNTIF(BC9:BG9,"&gt;=5"))</x:f>
      </x:c>
      <x:c r="AE9" t="str">
        <x:f>IF(COUNTA($D9:$I9)&lt;6,"",COUNTIF($D9:$I9,'5모델 고정세트'!$G$2)+COUNTIF($D9:$I9,'5모델 고정세트'!$H$2)+COUNTIF($D9:$I9,'5모델 고정세트'!$I$2)+COUNTIF($D9:$I9,'5모델 고정세트'!$J$2)+COUNTIF($D9:$I9,'5모델 고정세트'!$K$2)+COUNTIF($D9:$I9,'5모델 고정세트'!$L$2))</x:f>
      </x:c>
      <x:c r="AF9" t="str">
        <x:f>IF(COUNTA($D9:$I9)&lt;6,"",COUNTIF($D9:$I9,'5모델 고정세트'!$G$3)+COUNTIF($D9:$I9,'5모델 고정세트'!$H$3)+COUNTIF($D9:$I9,'5모델 고정세트'!$I$3)+COUNTIF($D9:$I9,'5모델 고정세트'!$J$3)+COUNTIF($D9:$I9,'5모델 고정세트'!$K$3)+COUNTIF($D9:$I9,'5모델 고정세트'!$L$3))</x:f>
      </x:c>
      <x:c r="AG9" t="str">
        <x:f>IF(COUNTA($D9:$I9)&lt;6,"",COUNTIF($D9:$I9,'5모델 고정세트'!$G$4)+COUNTIF($D9:$I9,'5모델 고정세트'!$H$4)+COUNTIF($D9:$I9,'5모델 고정세트'!$I$4)+COUNTIF($D9:$I9,'5모델 고정세트'!$J$4)+COUNTIF($D9:$I9,'5모델 고정세트'!$K$4)+COUNTIF($D9:$I9,'5모델 고정세트'!$L$4))</x:f>
      </x:c>
      <x:c r="AH9" t="str">
        <x:f>IF(COUNTA($D9:$I9)&lt;6,"",COUNTIF($D9:$I9,'5모델 고정세트'!$G$5)+COUNTIF($D9:$I9,'5모델 고정세트'!$H$5)+COUNTIF($D9:$I9,'5모델 고정세트'!$I$5)+COUNTIF($D9:$I9,'5모델 고정세트'!$J$5)+COUNTIF($D9:$I9,'5모델 고정세트'!$K$5)+COUNTIF($D9:$I9,'5모델 고정세트'!$L$5))</x:f>
      </x:c>
      <x:c r="AI9" t="str">
        <x:f>IF(COUNTA($D9:$I9)&lt;6,"",COUNTIF($D9:$I9,'5모델 고정세트'!$G$6)+COUNTIF($D9:$I9,'5모델 고정세트'!$H$6)+COUNTIF($D9:$I9,'5모델 고정세트'!$I$6)+COUNTIF($D9:$I9,'5모델 고정세트'!$J$6)+COUNTIF($D9:$I9,'5모델 고정세트'!$K$6)+COUNTIF($D9:$I9,'5모델 고정세트'!$L$6))</x:f>
      </x:c>
      <x:c r="AK9" t="str">
        <x:f>IF(COUNTA($D9:$I9)&lt;6,"",COUNTIF($D9:$I9,'5모델 고정세트'!$G$7)+COUNTIF($D9:$I9,'5모델 고정세트'!$H$7)+COUNTIF($D9:$I9,'5모델 고정세트'!$I$7)+COUNTIF($D9:$I9,'5모델 고정세트'!$J$7)+COUNTIF($D9:$I9,'5모델 고정세트'!$K$7)+COUNTIF($D9:$I9,'5모델 고정세트'!$L$7))</x:f>
      </x:c>
      <x:c r="AL9" t="str">
        <x:f>IF(COUNTA($D9:$I9)&lt;6,"",COUNTIF($D9:$I9,'5모델 고정세트'!$G$8)+COUNTIF($D9:$I9,'5모델 고정세트'!$H$8)+COUNTIF($D9:$I9,'5모델 고정세트'!$I$8)+COUNTIF($D9:$I9,'5모델 고정세트'!$J$8)+COUNTIF($D9:$I9,'5모델 고정세트'!$K$8)+COUNTIF($D9:$I9,'5모델 고정세트'!$L$8))</x:f>
      </x:c>
      <x:c r="AM9" t="str">
        <x:f>IF(COUNTA($D9:$I9)&lt;6,"",COUNTIF($D9:$I9,'5모델 고정세트'!$G$9)+COUNTIF($D9:$I9,'5모델 고정세트'!$H$9)+COUNTIF($D9:$I9,'5모델 고정세트'!$I$9)+COUNTIF($D9:$I9,'5모델 고정세트'!$J$9)+COUNTIF($D9:$I9,'5모델 고정세트'!$K$9)+COUNTIF($D9:$I9,'5모델 고정세트'!$L$9))</x:f>
      </x:c>
      <x:c r="AN9" t="str">
        <x:f>IF(COUNTA($D9:$I9)&lt;6,"",COUNTIF($D9:$I9,'5모델 고정세트'!$G$10)+COUNTIF($D9:$I9,'5모델 고정세트'!$H$10)+COUNTIF($D9:$I9,'5모델 고정세트'!$I$10)+COUNTIF($D9:$I9,'5모델 고정세트'!$J$10)+COUNTIF($D9:$I9,'5모델 고정세트'!$K$10)+COUNTIF($D9:$I9,'5모델 고정세트'!$L$10))</x:f>
      </x:c>
      <x:c r="AO9" t="str">
        <x:f>IF(COUNTA($D9:$I9)&lt;6,"",COUNTIF($D9:$I9,'5모델 고정세트'!$G$11)+COUNTIF($D9:$I9,'5모델 고정세트'!$H$11)+COUNTIF($D9:$I9,'5모델 고정세트'!$I$11)+COUNTIF($D9:$I9,'5모델 고정세트'!$J$11)+COUNTIF($D9:$I9,'5모델 고정세트'!$K$11)+COUNTIF($D9:$I9,'5모델 고정세트'!$L$11))</x:f>
      </x:c>
      <x:c r="AQ9" t="str">
        <x:f>IF(COUNTA($D9:$I9)&lt;6,"",COUNTIF($D9:$I9,'5모델 고정세트'!$G$12)+COUNTIF($D9:$I9,'5모델 고정세트'!$H$12)+COUNTIF($D9:$I9,'5모델 고정세트'!$I$12)+COUNTIF($D9:$I9,'5모델 고정세트'!$J$12)+COUNTIF($D9:$I9,'5모델 고정세트'!$K$12)+COUNTIF($D9:$I9,'5모델 고정세트'!$L$12))</x:f>
      </x:c>
      <x:c r="AR9" t="str">
        <x:f>IF(COUNTA($D9:$I9)&lt;6,"",COUNTIF($D9:$I9,'5모델 고정세트'!$G$13)+COUNTIF($D9:$I9,'5모델 고정세트'!$H$13)+COUNTIF($D9:$I9,'5모델 고정세트'!$I$13)+COUNTIF($D9:$I9,'5모델 고정세트'!$J$13)+COUNTIF($D9:$I9,'5모델 고정세트'!$K$13)+COUNTIF($D9:$I9,'5모델 고정세트'!$L$13))</x:f>
      </x:c>
      <x:c r="AS9" t="str">
        <x:f>IF(COUNTA($D9:$I9)&lt;6,"",COUNTIF($D9:$I9,'5모델 고정세트'!$G$14)+COUNTIF($D9:$I9,'5모델 고정세트'!$H$14)+COUNTIF($D9:$I9,'5모델 고정세트'!$I$14)+COUNTIF($D9:$I9,'5모델 고정세트'!$J$14)+COUNTIF($D9:$I9,'5모델 고정세트'!$K$14)+COUNTIF($D9:$I9,'5모델 고정세트'!$L$14))</x:f>
      </x:c>
      <x:c r="AT9" t="str">
        <x:f>IF(COUNTA($D9:$I9)&lt;6,"",COUNTIF($D9:$I9,'5모델 고정세트'!$G$15)+COUNTIF($D9:$I9,'5모델 고정세트'!$H$15)+COUNTIF($D9:$I9,'5모델 고정세트'!$I$15)+COUNTIF($D9:$I9,'5모델 고정세트'!$J$15)+COUNTIF($D9:$I9,'5모델 고정세트'!$K$15)+COUNTIF($D9:$I9,'5모델 고정세트'!$L$15))</x:f>
      </x:c>
      <x:c r="AU9" t="str">
        <x:f>IF(COUNTA($D9:$I9)&lt;6,"",COUNTIF($D9:$I9,'5모델 고정세트'!$G$16)+COUNTIF($D9:$I9,'5모델 고정세트'!$H$16)+COUNTIF($D9:$I9,'5모델 고정세트'!$I$16)+COUNTIF($D9:$I9,'5모델 고정세트'!$J$16)+COUNTIF($D9:$I9,'5모델 고정세트'!$K$16)+COUNTIF($D9:$I9,'5모델 고정세트'!$L$16))</x:f>
      </x:c>
      <x:c r="AW9" t="str">
        <x:f>IF(COUNTA($D9:$I9)&lt;6,"",COUNTIF($D9:$I9,'5모델 고정세트'!$G$17)+COUNTIF($D9:$I9,'5모델 고정세트'!$H$17)+COUNTIF($D9:$I9,'5모델 고정세트'!$I$17)+COUNTIF($D9:$I9,'5모델 고정세트'!$J$17)+COUNTIF($D9:$I9,'5모델 고정세트'!$K$17)+COUNTIF($D9:$I9,'5모델 고정세트'!$L$17))</x:f>
      </x:c>
      <x:c r="AX9" t="str">
        <x:f>IF(COUNTA($D9:$I9)&lt;6,"",COUNTIF($D9:$I9,'5모델 고정세트'!$G$18)+COUNTIF($D9:$I9,'5모델 고정세트'!$H$18)+COUNTIF($D9:$I9,'5모델 고정세트'!$I$18)+COUNTIF($D9:$I9,'5모델 고정세트'!$J$18)+COUNTIF($D9:$I9,'5모델 고정세트'!$K$18)+COUNTIF($D9:$I9,'5모델 고정세트'!$L$18))</x:f>
      </x:c>
      <x:c r="AY9" t="str">
        <x:f>IF(COUNTA($D9:$I9)&lt;6,"",COUNTIF($D9:$I9,'5모델 고정세트'!$G$19)+COUNTIF($D9:$I9,'5모델 고정세트'!$H$19)+COUNTIF($D9:$I9,'5모델 고정세트'!$I$19)+COUNTIF($D9:$I9,'5모델 고정세트'!$J$19)+COUNTIF($D9:$I9,'5모델 고정세트'!$K$19)+COUNTIF($D9:$I9,'5모델 고정세트'!$L$19))</x:f>
      </x:c>
      <x:c r="AZ9" t="str">
        <x:f>IF(COUNTA($D9:$I9)&lt;6,"",COUNTIF($D9:$I9,'5모델 고정세트'!$G$20)+COUNTIF($D9:$I9,'5모델 고정세트'!$H$20)+COUNTIF($D9:$I9,'5모델 고정세트'!$I$20)+COUNTIF($D9:$I9,'5모델 고정세트'!$J$20)+COUNTIF($D9:$I9,'5모델 고정세트'!$K$20)+COUNTIF($D9:$I9,'5모델 고정세트'!$L$20))</x:f>
      </x:c>
      <x:c r="BA9" t="str">
        <x:f>IF(COUNTA($D9:$I9)&lt;6,"",COUNTIF($D9:$I9,'5모델 고정세트'!$G$21)+COUNTIF($D9:$I9,'5모델 고정세트'!$H$21)+COUNTIF($D9:$I9,'5모델 고정세트'!$I$21)+COUNTIF($D9:$I9,'5모델 고정세트'!$J$21)+COUNTIF($D9:$I9,'5모델 고정세트'!$K$21)+COUNTIF($D9:$I9,'5모델 고정세트'!$L$21))</x:f>
      </x:c>
      <x:c r="BC9" t="str">
        <x:f>IF(COUNTA($D9:$I9)&lt;6,"",COUNTIF($D9:$I9,'5모델 고정세트'!$G$22)+COUNTIF($D9:$I9,'5모델 고정세트'!$H$22)+COUNTIF($D9:$I9,'5모델 고정세트'!$I$22)+COUNTIF($D9:$I9,'5모델 고정세트'!$J$22)+COUNTIF($D9:$I9,'5모델 고정세트'!$K$22)+COUNTIF($D9:$I9,'5모델 고정세트'!$L$22))</x:f>
      </x:c>
      <x:c r="BD9" t="str">
        <x:f>IF(COUNTA($D9:$I9)&lt;6,"",COUNTIF($D9:$I9,'5모델 고정세트'!$G$23)+COUNTIF($D9:$I9,'5모델 고정세트'!$H$23)+COUNTIF($D9:$I9,'5모델 고정세트'!$I$23)+COUNTIF($D9:$I9,'5모델 고정세트'!$J$23)+COUNTIF($D9:$I9,'5모델 고정세트'!$K$23)+COUNTIF($D9:$I9,'5모델 고정세트'!$L$23))</x:f>
      </x:c>
      <x:c r="BE9" t="str">
        <x:f>IF(COUNTA($D9:$I9)&lt;6,"",COUNTIF($D9:$I9,'5모델 고정세트'!$G$24)+COUNTIF($D9:$I9,'5모델 고정세트'!$H$24)+COUNTIF($D9:$I9,'5모델 고정세트'!$I$24)+COUNTIF($D9:$I9,'5모델 고정세트'!$J$24)+COUNTIF($D9:$I9,'5모델 고정세트'!$K$24)+COUNTIF($D9:$I9,'5모델 고정세트'!$L$24))</x:f>
      </x:c>
      <x:c r="BF9" t="str">
        <x:f>IF(COUNTA($D9:$I9)&lt;6,"",COUNTIF($D9:$I9,'5모델 고정세트'!$G$25)+COUNTIF($D9:$I9,'5모델 고정세트'!$H$25)+COUNTIF($D9:$I9,'5모델 고정세트'!$I$25)+COUNTIF($D9:$I9,'5모델 고정세트'!$J$25)+COUNTIF($D9:$I9,'5모델 고정세트'!$K$25)+COUNTIF($D9:$I9,'5모델 고정세트'!$L$25))</x:f>
      </x:c>
      <x:c r="BG9" t="str">
        <x:f>IF(COUNTA($D9:$I9)&lt;6,"",COUNTIF($D9:$I9,'5모델 고정세트'!$G$26)+COUNTIF($D9:$I9,'5모델 고정세트'!$H$26)+COUNTIF($D9:$I9,'5모델 고정세트'!$I$26)+COUNTIF($D9:$I9,'5모델 고정세트'!$J$26)+COUNTIF($D9:$I9,'5모델 고정세트'!$K$26)+COUNTIF($D9:$I9,'5모델 고정세트'!$L$26))</x:f>
      </x:c>
    </x:row>
    <x:row r="10">
      <x:c r="A10" s="282" t="n">
        <x:v>1242</x:v>
      </x:c>
      <x:c r="B10" s="283" t="str">
        <x:v>2026-09-19</x:v>
      </x:c>
      <x:c r="C10" s="283" t="str">
        <x:f>IF(COUNTA(D10:I10)=6,"확정","대기")</x:f>
        <x:v>대기</x:v>
      </x:c>
      <x:c r="D10" s="283"/>
      <x:c r="E10" s="283"/>
      <x:c r="F10" s="283"/>
      <x:c r="G10" s="283"/>
      <x:c r="H10" s="283"/>
      <x:c r="I10" s="283"/>
      <x:c r="J10" s="283" t="str">
        <x:f>IF(COUNTA($D10:$I10)&lt;6,"",MAX(AE10:AI10))</x:f>
      </x:c>
      <x:c r="K10" s="283" t="str">
        <x:f>IF(J10="","",COUNTIF(AE10:AI10,"&gt;=3"))</x:f>
      </x:c>
      <x:c r="L10" s="283" t="str">
        <x:f>IF(J10="","",COUNTIF(AE10:AI10,"&gt;=4"))</x:f>
      </x:c>
      <x:c r="M10" s="283" t="str">
        <x:f>IF(J10="","",COUNTIF(AE10:AI10,"&gt;=5"))</x:f>
      </x:c>
      <x:c r="N10" s="283" t="str">
        <x:f>IF(COUNTA($D10:$I10)&lt;6,"",MAX(AK10:AO10))</x:f>
      </x:c>
      <x:c r="O10" s="283" t="str">
        <x:f>IF(N10="","",COUNTIF(AK10:AO10,"&gt;=3"))</x:f>
      </x:c>
      <x:c r="P10" s="283" t="str">
        <x:f>IF(N10="","",COUNTIF(AK10:AO10,"&gt;=4"))</x:f>
      </x:c>
      <x:c r="Q10" s="283" t="str">
        <x:f>IF(N10="","",COUNTIF(AK10:AO10,"&gt;=5"))</x:f>
      </x:c>
      <x:c r="R10" s="283" t="str">
        <x:f>IF(COUNTA($D10:$I10)&lt;6,"",MAX(AQ10:AU10))</x:f>
      </x:c>
      <x:c r="S10" s="283" t="str">
        <x:f>IF(R10="","",COUNTIF(AQ10:AU10,"&gt;=3"))</x:f>
      </x:c>
      <x:c r="T10" s="283" t="str">
        <x:f>IF(R10="","",COUNTIF(AQ10:AU10,"&gt;=4"))</x:f>
      </x:c>
      <x:c r="U10" s="283" t="str">
        <x:f>IF(R10="","",COUNTIF(AQ10:AU10,"&gt;=5"))</x:f>
      </x:c>
      <x:c r="V10" s="283" t="str">
        <x:f>IF(COUNTA($D10:$I10)&lt;6,"",MAX(AW10:BA10))</x:f>
      </x:c>
      <x:c r="W10" s="283" t="str">
        <x:f>IF(V10="","",COUNTIF(AW10:BA10,"&gt;=3"))</x:f>
      </x:c>
      <x:c r="X10" s="283" t="str">
        <x:f>IF(V10="","",COUNTIF(AW10:BA10,"&gt;=4"))</x:f>
      </x:c>
      <x:c r="Y10" s="283" t="str">
        <x:f>IF(V10="","",COUNTIF(AW10:BA10,"&gt;=5"))</x:f>
      </x:c>
      <x:c r="Z10" s="283" t="str">
        <x:f>IF(COUNTA($D10:$I10)&lt;6,"",MAX(BC10:BG10))</x:f>
      </x:c>
      <x:c r="AA10" s="283" t="str">
        <x:f>IF(Z10="","",COUNTIF(BC10:BG10,"&gt;=3"))</x:f>
      </x:c>
      <x:c r="AB10" s="283" t="str">
        <x:f>IF(Z10="","",COUNTIF(BC10:BG10,"&gt;=4"))</x:f>
      </x:c>
      <x:c r="AC10" s="284" t="str">
        <x:f>IF(Z10="","",COUNTIF(BC10:BG10,"&gt;=5"))</x:f>
      </x:c>
      <x:c r="AE10" t="str">
        <x:f>IF(COUNTA($D10:$I10)&lt;6,"",COUNTIF($D10:$I10,'5모델 고정세트'!$G$2)+COUNTIF($D10:$I10,'5모델 고정세트'!$H$2)+COUNTIF($D10:$I10,'5모델 고정세트'!$I$2)+COUNTIF($D10:$I10,'5모델 고정세트'!$J$2)+COUNTIF($D10:$I10,'5모델 고정세트'!$K$2)+COUNTIF($D10:$I10,'5모델 고정세트'!$L$2))</x:f>
      </x:c>
      <x:c r="AF10" t="str">
        <x:f>IF(COUNTA($D10:$I10)&lt;6,"",COUNTIF($D10:$I10,'5모델 고정세트'!$G$3)+COUNTIF($D10:$I10,'5모델 고정세트'!$H$3)+COUNTIF($D10:$I10,'5모델 고정세트'!$I$3)+COUNTIF($D10:$I10,'5모델 고정세트'!$J$3)+COUNTIF($D10:$I10,'5모델 고정세트'!$K$3)+COUNTIF($D10:$I10,'5모델 고정세트'!$L$3))</x:f>
      </x:c>
      <x:c r="AG10" t="str">
        <x:f>IF(COUNTA($D10:$I10)&lt;6,"",COUNTIF($D10:$I10,'5모델 고정세트'!$G$4)+COUNTIF($D10:$I10,'5모델 고정세트'!$H$4)+COUNTIF($D10:$I10,'5모델 고정세트'!$I$4)+COUNTIF($D10:$I10,'5모델 고정세트'!$J$4)+COUNTIF($D10:$I10,'5모델 고정세트'!$K$4)+COUNTIF($D10:$I10,'5모델 고정세트'!$L$4))</x:f>
      </x:c>
      <x:c r="AH10" t="str">
        <x:f>IF(COUNTA($D10:$I10)&lt;6,"",COUNTIF($D10:$I10,'5모델 고정세트'!$G$5)+COUNTIF($D10:$I10,'5모델 고정세트'!$H$5)+COUNTIF($D10:$I10,'5모델 고정세트'!$I$5)+COUNTIF($D10:$I10,'5모델 고정세트'!$J$5)+COUNTIF($D10:$I10,'5모델 고정세트'!$K$5)+COUNTIF($D10:$I10,'5모델 고정세트'!$L$5))</x:f>
      </x:c>
      <x:c r="AI10" t="str">
        <x:f>IF(COUNTA($D10:$I10)&lt;6,"",COUNTIF($D10:$I10,'5모델 고정세트'!$G$6)+COUNTIF($D10:$I10,'5모델 고정세트'!$H$6)+COUNTIF($D10:$I10,'5모델 고정세트'!$I$6)+COUNTIF($D10:$I10,'5모델 고정세트'!$J$6)+COUNTIF($D10:$I10,'5모델 고정세트'!$K$6)+COUNTIF($D10:$I10,'5모델 고정세트'!$L$6))</x:f>
      </x:c>
      <x:c r="AK10" t="str">
        <x:f>IF(COUNTA($D10:$I10)&lt;6,"",COUNTIF($D10:$I10,'5모델 고정세트'!$G$7)+COUNTIF($D10:$I10,'5모델 고정세트'!$H$7)+COUNTIF($D10:$I10,'5모델 고정세트'!$I$7)+COUNTIF($D10:$I10,'5모델 고정세트'!$J$7)+COUNTIF($D10:$I10,'5모델 고정세트'!$K$7)+COUNTIF($D10:$I10,'5모델 고정세트'!$L$7))</x:f>
      </x:c>
      <x:c r="AL10" t="str">
        <x:f>IF(COUNTA($D10:$I10)&lt;6,"",COUNTIF($D10:$I10,'5모델 고정세트'!$G$8)+COUNTIF($D10:$I10,'5모델 고정세트'!$H$8)+COUNTIF($D10:$I10,'5모델 고정세트'!$I$8)+COUNTIF($D10:$I10,'5모델 고정세트'!$J$8)+COUNTIF($D10:$I10,'5모델 고정세트'!$K$8)+COUNTIF($D10:$I10,'5모델 고정세트'!$L$8))</x:f>
      </x:c>
      <x:c r="AM10" t="str">
        <x:f>IF(COUNTA($D10:$I10)&lt;6,"",COUNTIF($D10:$I10,'5모델 고정세트'!$G$9)+COUNTIF($D10:$I10,'5모델 고정세트'!$H$9)+COUNTIF($D10:$I10,'5모델 고정세트'!$I$9)+COUNTIF($D10:$I10,'5모델 고정세트'!$J$9)+COUNTIF($D10:$I10,'5모델 고정세트'!$K$9)+COUNTIF($D10:$I10,'5모델 고정세트'!$L$9))</x:f>
      </x:c>
      <x:c r="AN10" t="str">
        <x:f>IF(COUNTA($D10:$I10)&lt;6,"",COUNTIF($D10:$I10,'5모델 고정세트'!$G$10)+COUNTIF($D10:$I10,'5모델 고정세트'!$H$10)+COUNTIF($D10:$I10,'5모델 고정세트'!$I$10)+COUNTIF($D10:$I10,'5모델 고정세트'!$J$10)+COUNTIF($D10:$I10,'5모델 고정세트'!$K$10)+COUNTIF($D10:$I10,'5모델 고정세트'!$L$10))</x:f>
      </x:c>
      <x:c r="AO10" t="str">
        <x:f>IF(COUNTA($D10:$I10)&lt;6,"",COUNTIF($D10:$I10,'5모델 고정세트'!$G$11)+COUNTIF($D10:$I10,'5모델 고정세트'!$H$11)+COUNTIF($D10:$I10,'5모델 고정세트'!$I$11)+COUNTIF($D10:$I10,'5모델 고정세트'!$J$11)+COUNTIF($D10:$I10,'5모델 고정세트'!$K$11)+COUNTIF($D10:$I10,'5모델 고정세트'!$L$11))</x:f>
      </x:c>
      <x:c r="AQ10" t="str">
        <x:f>IF(COUNTA($D10:$I10)&lt;6,"",COUNTIF($D10:$I10,'5모델 고정세트'!$G$12)+COUNTIF($D10:$I10,'5모델 고정세트'!$H$12)+COUNTIF($D10:$I10,'5모델 고정세트'!$I$12)+COUNTIF($D10:$I10,'5모델 고정세트'!$J$12)+COUNTIF($D10:$I10,'5모델 고정세트'!$K$12)+COUNTIF($D10:$I10,'5모델 고정세트'!$L$12))</x:f>
      </x:c>
      <x:c r="AR10" t="str">
        <x:f>IF(COUNTA($D10:$I10)&lt;6,"",COUNTIF($D10:$I10,'5모델 고정세트'!$G$13)+COUNTIF($D10:$I10,'5모델 고정세트'!$H$13)+COUNTIF($D10:$I10,'5모델 고정세트'!$I$13)+COUNTIF($D10:$I10,'5모델 고정세트'!$J$13)+COUNTIF($D10:$I10,'5모델 고정세트'!$K$13)+COUNTIF($D10:$I10,'5모델 고정세트'!$L$13))</x:f>
      </x:c>
      <x:c r="AS10" t="str">
        <x:f>IF(COUNTA($D10:$I10)&lt;6,"",COUNTIF($D10:$I10,'5모델 고정세트'!$G$14)+COUNTIF($D10:$I10,'5모델 고정세트'!$H$14)+COUNTIF($D10:$I10,'5모델 고정세트'!$I$14)+COUNTIF($D10:$I10,'5모델 고정세트'!$J$14)+COUNTIF($D10:$I10,'5모델 고정세트'!$K$14)+COUNTIF($D10:$I10,'5모델 고정세트'!$L$14))</x:f>
      </x:c>
      <x:c r="AT10" t="str">
        <x:f>IF(COUNTA($D10:$I10)&lt;6,"",COUNTIF($D10:$I10,'5모델 고정세트'!$G$15)+COUNTIF($D10:$I10,'5모델 고정세트'!$H$15)+COUNTIF($D10:$I10,'5모델 고정세트'!$I$15)+COUNTIF($D10:$I10,'5모델 고정세트'!$J$15)+COUNTIF($D10:$I10,'5모델 고정세트'!$K$15)+COUNTIF($D10:$I10,'5모델 고정세트'!$L$15))</x:f>
      </x:c>
      <x:c r="AU10" t="str">
        <x:f>IF(COUNTA($D10:$I10)&lt;6,"",COUNTIF($D10:$I10,'5모델 고정세트'!$G$16)+COUNTIF($D10:$I10,'5모델 고정세트'!$H$16)+COUNTIF($D10:$I10,'5모델 고정세트'!$I$16)+COUNTIF($D10:$I10,'5모델 고정세트'!$J$16)+COUNTIF($D10:$I10,'5모델 고정세트'!$K$16)+COUNTIF($D10:$I10,'5모델 고정세트'!$L$16))</x:f>
      </x:c>
      <x:c r="AW10" t="str">
        <x:f>IF(COUNTA($D10:$I10)&lt;6,"",COUNTIF($D10:$I10,'5모델 고정세트'!$G$17)+COUNTIF($D10:$I10,'5모델 고정세트'!$H$17)+COUNTIF($D10:$I10,'5모델 고정세트'!$I$17)+COUNTIF($D10:$I10,'5모델 고정세트'!$J$17)+COUNTIF($D10:$I10,'5모델 고정세트'!$K$17)+COUNTIF($D10:$I10,'5모델 고정세트'!$L$17))</x:f>
      </x:c>
      <x:c r="AX10" t="str">
        <x:f>IF(COUNTA($D10:$I10)&lt;6,"",COUNTIF($D10:$I10,'5모델 고정세트'!$G$18)+COUNTIF($D10:$I10,'5모델 고정세트'!$H$18)+COUNTIF($D10:$I10,'5모델 고정세트'!$I$18)+COUNTIF($D10:$I10,'5모델 고정세트'!$J$18)+COUNTIF($D10:$I10,'5모델 고정세트'!$K$18)+COUNTIF($D10:$I10,'5모델 고정세트'!$L$18))</x:f>
      </x:c>
      <x:c r="AY10" t="str">
        <x:f>IF(COUNTA($D10:$I10)&lt;6,"",COUNTIF($D10:$I10,'5모델 고정세트'!$G$19)+COUNTIF($D10:$I10,'5모델 고정세트'!$H$19)+COUNTIF($D10:$I10,'5모델 고정세트'!$I$19)+COUNTIF($D10:$I10,'5모델 고정세트'!$J$19)+COUNTIF($D10:$I10,'5모델 고정세트'!$K$19)+COUNTIF($D10:$I10,'5모델 고정세트'!$L$19))</x:f>
      </x:c>
      <x:c r="AZ10" t="str">
        <x:f>IF(COUNTA($D10:$I10)&lt;6,"",COUNTIF($D10:$I10,'5모델 고정세트'!$G$20)+COUNTIF($D10:$I10,'5모델 고정세트'!$H$20)+COUNTIF($D10:$I10,'5모델 고정세트'!$I$20)+COUNTIF($D10:$I10,'5모델 고정세트'!$J$20)+COUNTIF($D10:$I10,'5모델 고정세트'!$K$20)+COUNTIF($D10:$I10,'5모델 고정세트'!$L$20))</x:f>
      </x:c>
      <x:c r="BA10" t="str">
        <x:f>IF(COUNTA($D10:$I10)&lt;6,"",COUNTIF($D10:$I10,'5모델 고정세트'!$G$21)+COUNTIF($D10:$I10,'5모델 고정세트'!$H$21)+COUNTIF($D10:$I10,'5모델 고정세트'!$I$21)+COUNTIF($D10:$I10,'5모델 고정세트'!$J$21)+COUNTIF($D10:$I10,'5모델 고정세트'!$K$21)+COUNTIF($D10:$I10,'5모델 고정세트'!$L$21))</x:f>
      </x:c>
      <x:c r="BC10" t="str">
        <x:f>IF(COUNTA($D10:$I10)&lt;6,"",COUNTIF($D10:$I10,'5모델 고정세트'!$G$22)+COUNTIF($D10:$I10,'5모델 고정세트'!$H$22)+COUNTIF($D10:$I10,'5모델 고정세트'!$I$22)+COUNTIF($D10:$I10,'5모델 고정세트'!$J$22)+COUNTIF($D10:$I10,'5모델 고정세트'!$K$22)+COUNTIF($D10:$I10,'5모델 고정세트'!$L$22))</x:f>
      </x:c>
      <x:c r="BD10" t="str">
        <x:f>IF(COUNTA($D10:$I10)&lt;6,"",COUNTIF($D10:$I10,'5모델 고정세트'!$G$23)+COUNTIF($D10:$I10,'5모델 고정세트'!$H$23)+COUNTIF($D10:$I10,'5모델 고정세트'!$I$23)+COUNTIF($D10:$I10,'5모델 고정세트'!$J$23)+COUNTIF($D10:$I10,'5모델 고정세트'!$K$23)+COUNTIF($D10:$I10,'5모델 고정세트'!$L$23))</x:f>
      </x:c>
      <x:c r="BE10" t="str">
        <x:f>IF(COUNTA($D10:$I10)&lt;6,"",COUNTIF($D10:$I10,'5모델 고정세트'!$G$24)+COUNTIF($D10:$I10,'5모델 고정세트'!$H$24)+COUNTIF($D10:$I10,'5모델 고정세트'!$I$24)+COUNTIF($D10:$I10,'5모델 고정세트'!$J$24)+COUNTIF($D10:$I10,'5모델 고정세트'!$K$24)+COUNTIF($D10:$I10,'5모델 고정세트'!$L$24))</x:f>
      </x:c>
      <x:c r="BF10" t="str">
        <x:f>IF(COUNTA($D10:$I10)&lt;6,"",COUNTIF($D10:$I10,'5모델 고정세트'!$G$25)+COUNTIF($D10:$I10,'5모델 고정세트'!$H$25)+COUNTIF($D10:$I10,'5모델 고정세트'!$I$25)+COUNTIF($D10:$I10,'5모델 고정세트'!$J$25)+COUNTIF($D10:$I10,'5모델 고정세트'!$K$25)+COUNTIF($D10:$I10,'5모델 고정세트'!$L$25))</x:f>
      </x:c>
      <x:c r="BG10" t="str">
        <x:f>IF(COUNTA($D10:$I10)&lt;6,"",COUNTIF($D10:$I10,'5모델 고정세트'!$G$26)+COUNTIF($D10:$I10,'5모델 고정세트'!$H$26)+COUNTIF($D10:$I10,'5모델 고정세트'!$I$26)+COUNTIF($D10:$I10,'5모델 고정세트'!$J$26)+COUNTIF($D10:$I10,'5모델 고정세트'!$K$26)+COUNTIF($D10:$I10,'5모델 고정세트'!$L$26))</x:f>
      </x:c>
    </x:row>
    <x:row r="11">
      <x:c r="A11" s="282" t="n">
        <x:v>1243</x:v>
      </x:c>
      <x:c r="B11" s="283" t="str">
        <x:v>2026-09-26</x:v>
      </x:c>
      <x:c r="C11" s="283" t="str">
        <x:f>IF(COUNTA(D11:I11)=6,"확정","대기")</x:f>
        <x:v>대기</x:v>
      </x:c>
      <x:c r="D11" s="283"/>
      <x:c r="E11" s="283"/>
      <x:c r="F11" s="283"/>
      <x:c r="G11" s="283"/>
      <x:c r="H11" s="283"/>
      <x:c r="I11" s="283"/>
      <x:c r="J11" s="283" t="str">
        <x:f>IF(COUNTA($D11:$I11)&lt;6,"",MAX(AE11:AI11))</x:f>
      </x:c>
      <x:c r="K11" s="283" t="str">
        <x:f>IF(J11="","",COUNTIF(AE11:AI11,"&gt;=3"))</x:f>
      </x:c>
      <x:c r="L11" s="283" t="str">
        <x:f>IF(J11="","",COUNTIF(AE11:AI11,"&gt;=4"))</x:f>
      </x:c>
      <x:c r="M11" s="283" t="str">
        <x:f>IF(J11="","",COUNTIF(AE11:AI11,"&gt;=5"))</x:f>
      </x:c>
      <x:c r="N11" s="283" t="str">
        <x:f>IF(COUNTA($D11:$I11)&lt;6,"",MAX(AK11:AO11))</x:f>
      </x:c>
      <x:c r="O11" s="283" t="str">
        <x:f>IF(N11="","",COUNTIF(AK11:AO11,"&gt;=3"))</x:f>
      </x:c>
      <x:c r="P11" s="283" t="str">
        <x:f>IF(N11="","",COUNTIF(AK11:AO11,"&gt;=4"))</x:f>
      </x:c>
      <x:c r="Q11" s="283" t="str">
        <x:f>IF(N11="","",COUNTIF(AK11:AO11,"&gt;=5"))</x:f>
      </x:c>
      <x:c r="R11" s="283" t="str">
        <x:f>IF(COUNTA($D11:$I11)&lt;6,"",MAX(AQ11:AU11))</x:f>
      </x:c>
      <x:c r="S11" s="283" t="str">
        <x:f>IF(R11="","",COUNTIF(AQ11:AU11,"&gt;=3"))</x:f>
      </x:c>
      <x:c r="T11" s="283" t="str">
        <x:f>IF(R11="","",COUNTIF(AQ11:AU11,"&gt;=4"))</x:f>
      </x:c>
      <x:c r="U11" s="283" t="str">
        <x:f>IF(R11="","",COUNTIF(AQ11:AU11,"&gt;=5"))</x:f>
      </x:c>
      <x:c r="V11" s="283" t="str">
        <x:f>IF(COUNTA($D11:$I11)&lt;6,"",MAX(AW11:BA11))</x:f>
      </x:c>
      <x:c r="W11" s="283" t="str">
        <x:f>IF(V11="","",COUNTIF(AW11:BA11,"&gt;=3"))</x:f>
      </x:c>
      <x:c r="X11" s="283" t="str">
        <x:f>IF(V11="","",COUNTIF(AW11:BA11,"&gt;=4"))</x:f>
      </x:c>
      <x:c r="Y11" s="283" t="str">
        <x:f>IF(V11="","",COUNTIF(AW11:BA11,"&gt;=5"))</x:f>
      </x:c>
      <x:c r="Z11" s="283" t="str">
        <x:f>IF(COUNTA($D11:$I11)&lt;6,"",MAX(BC11:BG11))</x:f>
      </x:c>
      <x:c r="AA11" s="283" t="str">
        <x:f>IF(Z11="","",COUNTIF(BC11:BG11,"&gt;=3"))</x:f>
      </x:c>
      <x:c r="AB11" s="283" t="str">
        <x:f>IF(Z11="","",COUNTIF(BC11:BG11,"&gt;=4"))</x:f>
      </x:c>
      <x:c r="AC11" s="284" t="str">
        <x:f>IF(Z11="","",COUNTIF(BC11:BG11,"&gt;=5"))</x:f>
      </x:c>
      <x:c r="AE11" t="str">
        <x:f>IF(COUNTA($D11:$I11)&lt;6,"",COUNTIF($D11:$I11,'5모델 고정세트'!$G$2)+COUNTIF($D11:$I11,'5모델 고정세트'!$H$2)+COUNTIF($D11:$I11,'5모델 고정세트'!$I$2)+COUNTIF($D11:$I11,'5모델 고정세트'!$J$2)+COUNTIF($D11:$I11,'5모델 고정세트'!$K$2)+COUNTIF($D11:$I11,'5모델 고정세트'!$L$2))</x:f>
      </x:c>
      <x:c r="AF11" t="str">
        <x:f>IF(COUNTA($D11:$I11)&lt;6,"",COUNTIF($D11:$I11,'5모델 고정세트'!$G$3)+COUNTIF($D11:$I11,'5모델 고정세트'!$H$3)+COUNTIF($D11:$I11,'5모델 고정세트'!$I$3)+COUNTIF($D11:$I11,'5모델 고정세트'!$J$3)+COUNTIF($D11:$I11,'5모델 고정세트'!$K$3)+COUNTIF($D11:$I11,'5모델 고정세트'!$L$3))</x:f>
      </x:c>
      <x:c r="AG11" t="str">
        <x:f>IF(COUNTA($D11:$I11)&lt;6,"",COUNTIF($D11:$I11,'5모델 고정세트'!$G$4)+COUNTIF($D11:$I11,'5모델 고정세트'!$H$4)+COUNTIF($D11:$I11,'5모델 고정세트'!$I$4)+COUNTIF($D11:$I11,'5모델 고정세트'!$J$4)+COUNTIF($D11:$I11,'5모델 고정세트'!$K$4)+COUNTIF($D11:$I11,'5모델 고정세트'!$L$4))</x:f>
      </x:c>
      <x:c r="AH11" t="str">
        <x:f>IF(COUNTA($D11:$I11)&lt;6,"",COUNTIF($D11:$I11,'5모델 고정세트'!$G$5)+COUNTIF($D11:$I11,'5모델 고정세트'!$H$5)+COUNTIF($D11:$I11,'5모델 고정세트'!$I$5)+COUNTIF($D11:$I11,'5모델 고정세트'!$J$5)+COUNTIF($D11:$I11,'5모델 고정세트'!$K$5)+COUNTIF($D11:$I11,'5모델 고정세트'!$L$5))</x:f>
      </x:c>
      <x:c r="AI11" t="str">
        <x:f>IF(COUNTA($D11:$I11)&lt;6,"",COUNTIF($D11:$I11,'5모델 고정세트'!$G$6)+COUNTIF($D11:$I11,'5모델 고정세트'!$H$6)+COUNTIF($D11:$I11,'5모델 고정세트'!$I$6)+COUNTIF($D11:$I11,'5모델 고정세트'!$J$6)+COUNTIF($D11:$I11,'5모델 고정세트'!$K$6)+COUNTIF($D11:$I11,'5모델 고정세트'!$L$6))</x:f>
      </x:c>
      <x:c r="AK11" t="str">
        <x:f>IF(COUNTA($D11:$I11)&lt;6,"",COUNTIF($D11:$I11,'5모델 고정세트'!$G$7)+COUNTIF($D11:$I11,'5모델 고정세트'!$H$7)+COUNTIF($D11:$I11,'5모델 고정세트'!$I$7)+COUNTIF($D11:$I11,'5모델 고정세트'!$J$7)+COUNTIF($D11:$I11,'5모델 고정세트'!$K$7)+COUNTIF($D11:$I11,'5모델 고정세트'!$L$7))</x:f>
      </x:c>
      <x:c r="AL11" t="str">
        <x:f>IF(COUNTA($D11:$I11)&lt;6,"",COUNTIF($D11:$I11,'5모델 고정세트'!$G$8)+COUNTIF($D11:$I11,'5모델 고정세트'!$H$8)+COUNTIF($D11:$I11,'5모델 고정세트'!$I$8)+COUNTIF($D11:$I11,'5모델 고정세트'!$J$8)+COUNTIF($D11:$I11,'5모델 고정세트'!$K$8)+COUNTIF($D11:$I11,'5모델 고정세트'!$L$8))</x:f>
      </x:c>
      <x:c r="AM11" t="str">
        <x:f>IF(COUNTA($D11:$I11)&lt;6,"",COUNTIF($D11:$I11,'5모델 고정세트'!$G$9)+COUNTIF($D11:$I11,'5모델 고정세트'!$H$9)+COUNTIF($D11:$I11,'5모델 고정세트'!$I$9)+COUNTIF($D11:$I11,'5모델 고정세트'!$J$9)+COUNTIF($D11:$I11,'5모델 고정세트'!$K$9)+COUNTIF($D11:$I11,'5모델 고정세트'!$L$9))</x:f>
      </x:c>
      <x:c r="AN11" t="str">
        <x:f>IF(COUNTA($D11:$I11)&lt;6,"",COUNTIF($D11:$I11,'5모델 고정세트'!$G$10)+COUNTIF($D11:$I11,'5모델 고정세트'!$H$10)+COUNTIF($D11:$I11,'5모델 고정세트'!$I$10)+COUNTIF($D11:$I11,'5모델 고정세트'!$J$10)+COUNTIF($D11:$I11,'5모델 고정세트'!$K$10)+COUNTIF($D11:$I11,'5모델 고정세트'!$L$10))</x:f>
      </x:c>
      <x:c r="AO11" t="str">
        <x:f>IF(COUNTA($D11:$I11)&lt;6,"",COUNTIF($D11:$I11,'5모델 고정세트'!$G$11)+COUNTIF($D11:$I11,'5모델 고정세트'!$H$11)+COUNTIF($D11:$I11,'5모델 고정세트'!$I$11)+COUNTIF($D11:$I11,'5모델 고정세트'!$J$11)+COUNTIF($D11:$I11,'5모델 고정세트'!$K$11)+COUNTIF($D11:$I11,'5모델 고정세트'!$L$11))</x:f>
      </x:c>
      <x:c r="AQ11" t="str">
        <x:f>IF(COUNTA($D11:$I11)&lt;6,"",COUNTIF($D11:$I11,'5모델 고정세트'!$G$12)+COUNTIF($D11:$I11,'5모델 고정세트'!$H$12)+COUNTIF($D11:$I11,'5모델 고정세트'!$I$12)+COUNTIF($D11:$I11,'5모델 고정세트'!$J$12)+COUNTIF($D11:$I11,'5모델 고정세트'!$K$12)+COUNTIF($D11:$I11,'5모델 고정세트'!$L$12))</x:f>
      </x:c>
      <x:c r="AR11" t="str">
        <x:f>IF(COUNTA($D11:$I11)&lt;6,"",COUNTIF($D11:$I11,'5모델 고정세트'!$G$13)+COUNTIF($D11:$I11,'5모델 고정세트'!$H$13)+COUNTIF($D11:$I11,'5모델 고정세트'!$I$13)+COUNTIF($D11:$I11,'5모델 고정세트'!$J$13)+COUNTIF($D11:$I11,'5모델 고정세트'!$K$13)+COUNTIF($D11:$I11,'5모델 고정세트'!$L$13))</x:f>
      </x:c>
      <x:c r="AS11" t="str">
        <x:f>IF(COUNTA($D11:$I11)&lt;6,"",COUNTIF($D11:$I11,'5모델 고정세트'!$G$14)+COUNTIF($D11:$I11,'5모델 고정세트'!$H$14)+COUNTIF($D11:$I11,'5모델 고정세트'!$I$14)+COUNTIF($D11:$I11,'5모델 고정세트'!$J$14)+COUNTIF($D11:$I11,'5모델 고정세트'!$K$14)+COUNTIF($D11:$I11,'5모델 고정세트'!$L$14))</x:f>
      </x:c>
      <x:c r="AT11" t="str">
        <x:f>IF(COUNTA($D11:$I11)&lt;6,"",COUNTIF($D11:$I11,'5모델 고정세트'!$G$15)+COUNTIF($D11:$I11,'5모델 고정세트'!$H$15)+COUNTIF($D11:$I11,'5모델 고정세트'!$I$15)+COUNTIF($D11:$I11,'5모델 고정세트'!$J$15)+COUNTIF($D11:$I11,'5모델 고정세트'!$K$15)+COUNTIF($D11:$I11,'5모델 고정세트'!$L$15))</x:f>
      </x:c>
      <x:c r="AU11" t="str">
        <x:f>IF(COUNTA($D11:$I11)&lt;6,"",COUNTIF($D11:$I11,'5모델 고정세트'!$G$16)+COUNTIF($D11:$I11,'5모델 고정세트'!$H$16)+COUNTIF($D11:$I11,'5모델 고정세트'!$I$16)+COUNTIF($D11:$I11,'5모델 고정세트'!$J$16)+COUNTIF($D11:$I11,'5모델 고정세트'!$K$16)+COUNTIF($D11:$I11,'5모델 고정세트'!$L$16))</x:f>
      </x:c>
      <x:c r="AW11" t="str">
        <x:f>IF(COUNTA($D11:$I11)&lt;6,"",COUNTIF($D11:$I11,'5모델 고정세트'!$G$17)+COUNTIF($D11:$I11,'5모델 고정세트'!$H$17)+COUNTIF($D11:$I11,'5모델 고정세트'!$I$17)+COUNTIF($D11:$I11,'5모델 고정세트'!$J$17)+COUNTIF($D11:$I11,'5모델 고정세트'!$K$17)+COUNTIF($D11:$I11,'5모델 고정세트'!$L$17))</x:f>
      </x:c>
      <x:c r="AX11" t="str">
        <x:f>IF(COUNTA($D11:$I11)&lt;6,"",COUNTIF($D11:$I11,'5모델 고정세트'!$G$18)+COUNTIF($D11:$I11,'5모델 고정세트'!$H$18)+COUNTIF($D11:$I11,'5모델 고정세트'!$I$18)+COUNTIF($D11:$I11,'5모델 고정세트'!$J$18)+COUNTIF($D11:$I11,'5모델 고정세트'!$K$18)+COUNTIF($D11:$I11,'5모델 고정세트'!$L$18))</x:f>
      </x:c>
      <x:c r="AY11" t="str">
        <x:f>IF(COUNTA($D11:$I11)&lt;6,"",COUNTIF($D11:$I11,'5모델 고정세트'!$G$19)+COUNTIF($D11:$I11,'5모델 고정세트'!$H$19)+COUNTIF($D11:$I11,'5모델 고정세트'!$I$19)+COUNTIF($D11:$I11,'5모델 고정세트'!$J$19)+COUNTIF($D11:$I11,'5모델 고정세트'!$K$19)+COUNTIF($D11:$I11,'5모델 고정세트'!$L$19))</x:f>
      </x:c>
      <x:c r="AZ11" t="str">
        <x:f>IF(COUNTA($D11:$I11)&lt;6,"",COUNTIF($D11:$I11,'5모델 고정세트'!$G$20)+COUNTIF($D11:$I11,'5모델 고정세트'!$H$20)+COUNTIF($D11:$I11,'5모델 고정세트'!$I$20)+COUNTIF($D11:$I11,'5모델 고정세트'!$J$20)+COUNTIF($D11:$I11,'5모델 고정세트'!$K$20)+COUNTIF($D11:$I11,'5모델 고정세트'!$L$20))</x:f>
      </x:c>
      <x:c r="BA11" t="str">
        <x:f>IF(COUNTA($D11:$I11)&lt;6,"",COUNTIF($D11:$I11,'5모델 고정세트'!$G$21)+COUNTIF($D11:$I11,'5모델 고정세트'!$H$21)+COUNTIF($D11:$I11,'5모델 고정세트'!$I$21)+COUNTIF($D11:$I11,'5모델 고정세트'!$J$21)+COUNTIF($D11:$I11,'5모델 고정세트'!$K$21)+COUNTIF($D11:$I11,'5모델 고정세트'!$L$21))</x:f>
      </x:c>
      <x:c r="BC11" t="str">
        <x:f>IF(COUNTA($D11:$I11)&lt;6,"",COUNTIF($D11:$I11,'5모델 고정세트'!$G$22)+COUNTIF($D11:$I11,'5모델 고정세트'!$H$22)+COUNTIF($D11:$I11,'5모델 고정세트'!$I$22)+COUNTIF($D11:$I11,'5모델 고정세트'!$J$22)+COUNTIF($D11:$I11,'5모델 고정세트'!$K$22)+COUNTIF($D11:$I11,'5모델 고정세트'!$L$22))</x:f>
      </x:c>
      <x:c r="BD11" t="str">
        <x:f>IF(COUNTA($D11:$I11)&lt;6,"",COUNTIF($D11:$I11,'5모델 고정세트'!$G$23)+COUNTIF($D11:$I11,'5모델 고정세트'!$H$23)+COUNTIF($D11:$I11,'5모델 고정세트'!$I$23)+COUNTIF($D11:$I11,'5모델 고정세트'!$J$23)+COUNTIF($D11:$I11,'5모델 고정세트'!$K$23)+COUNTIF($D11:$I11,'5모델 고정세트'!$L$23))</x:f>
      </x:c>
      <x:c r="BE11" t="str">
        <x:f>IF(COUNTA($D11:$I11)&lt;6,"",COUNTIF($D11:$I11,'5모델 고정세트'!$G$24)+COUNTIF($D11:$I11,'5모델 고정세트'!$H$24)+COUNTIF($D11:$I11,'5모델 고정세트'!$I$24)+COUNTIF($D11:$I11,'5모델 고정세트'!$J$24)+COUNTIF($D11:$I11,'5모델 고정세트'!$K$24)+COUNTIF($D11:$I11,'5모델 고정세트'!$L$24))</x:f>
      </x:c>
      <x:c r="BF11" t="str">
        <x:f>IF(COUNTA($D11:$I11)&lt;6,"",COUNTIF($D11:$I11,'5모델 고정세트'!$G$25)+COUNTIF($D11:$I11,'5모델 고정세트'!$H$25)+COUNTIF($D11:$I11,'5모델 고정세트'!$I$25)+COUNTIF($D11:$I11,'5모델 고정세트'!$J$25)+COUNTIF($D11:$I11,'5모델 고정세트'!$K$25)+COUNTIF($D11:$I11,'5모델 고정세트'!$L$25))</x:f>
      </x:c>
      <x:c r="BG11" t="str">
        <x:f>IF(COUNTA($D11:$I11)&lt;6,"",COUNTIF($D11:$I11,'5모델 고정세트'!$G$26)+COUNTIF($D11:$I11,'5모델 고정세트'!$H$26)+COUNTIF($D11:$I11,'5모델 고정세트'!$I$26)+COUNTIF($D11:$I11,'5모델 고정세트'!$J$26)+COUNTIF($D11:$I11,'5모델 고정세트'!$K$26)+COUNTIF($D11:$I11,'5모델 고정세트'!$L$26))</x:f>
      </x:c>
    </x:row>
    <x:row r="12">
      <x:c r="A12" s="282" t="n">
        <x:v>1244</x:v>
      </x:c>
      <x:c r="B12" s="283" t="str">
        <x:v>2026-10-03</x:v>
      </x:c>
      <x:c r="C12" s="283" t="str">
        <x:f>IF(COUNTA(D12:I12)=6,"확정","대기")</x:f>
        <x:v>대기</x:v>
      </x:c>
      <x:c r="D12" s="283"/>
      <x:c r="E12" s="283"/>
      <x:c r="F12" s="283"/>
      <x:c r="G12" s="283"/>
      <x:c r="H12" s="283"/>
      <x:c r="I12" s="283"/>
      <x:c r="J12" s="283" t="str">
        <x:f>IF(COUNTA($D12:$I12)&lt;6,"",MAX(AE12:AI12))</x:f>
      </x:c>
      <x:c r="K12" s="283" t="str">
        <x:f>IF(J12="","",COUNTIF(AE12:AI12,"&gt;=3"))</x:f>
      </x:c>
      <x:c r="L12" s="283" t="str">
        <x:f>IF(J12="","",COUNTIF(AE12:AI12,"&gt;=4"))</x:f>
      </x:c>
      <x:c r="M12" s="283" t="str">
        <x:f>IF(J12="","",COUNTIF(AE12:AI12,"&gt;=5"))</x:f>
      </x:c>
      <x:c r="N12" s="283" t="str">
        <x:f>IF(COUNTA($D12:$I12)&lt;6,"",MAX(AK12:AO12))</x:f>
      </x:c>
      <x:c r="O12" s="283" t="str">
        <x:f>IF(N12="","",COUNTIF(AK12:AO12,"&gt;=3"))</x:f>
      </x:c>
      <x:c r="P12" s="283" t="str">
        <x:f>IF(N12="","",COUNTIF(AK12:AO12,"&gt;=4"))</x:f>
      </x:c>
      <x:c r="Q12" s="283" t="str">
        <x:f>IF(N12="","",COUNTIF(AK12:AO12,"&gt;=5"))</x:f>
      </x:c>
      <x:c r="R12" s="283" t="str">
        <x:f>IF(COUNTA($D12:$I12)&lt;6,"",MAX(AQ12:AU12))</x:f>
      </x:c>
      <x:c r="S12" s="283" t="str">
        <x:f>IF(R12="","",COUNTIF(AQ12:AU12,"&gt;=3"))</x:f>
      </x:c>
      <x:c r="T12" s="283" t="str">
        <x:f>IF(R12="","",COUNTIF(AQ12:AU12,"&gt;=4"))</x:f>
      </x:c>
      <x:c r="U12" s="283" t="str">
        <x:f>IF(R12="","",COUNTIF(AQ12:AU12,"&gt;=5"))</x:f>
      </x:c>
      <x:c r="V12" s="283" t="str">
        <x:f>IF(COUNTA($D12:$I12)&lt;6,"",MAX(AW12:BA12))</x:f>
      </x:c>
      <x:c r="W12" s="283" t="str">
        <x:f>IF(V12="","",COUNTIF(AW12:BA12,"&gt;=3"))</x:f>
      </x:c>
      <x:c r="X12" s="283" t="str">
        <x:f>IF(V12="","",COUNTIF(AW12:BA12,"&gt;=4"))</x:f>
      </x:c>
      <x:c r="Y12" s="283" t="str">
        <x:f>IF(V12="","",COUNTIF(AW12:BA12,"&gt;=5"))</x:f>
      </x:c>
      <x:c r="Z12" s="283" t="str">
        <x:f>IF(COUNTA($D12:$I12)&lt;6,"",MAX(BC12:BG12))</x:f>
      </x:c>
      <x:c r="AA12" s="283" t="str">
        <x:f>IF(Z12="","",COUNTIF(BC12:BG12,"&gt;=3"))</x:f>
      </x:c>
      <x:c r="AB12" s="283" t="str">
        <x:f>IF(Z12="","",COUNTIF(BC12:BG12,"&gt;=4"))</x:f>
      </x:c>
      <x:c r="AC12" s="284" t="str">
        <x:f>IF(Z12="","",COUNTIF(BC12:BG12,"&gt;=5"))</x:f>
      </x:c>
      <x:c r="AE12" t="str">
        <x:f>IF(COUNTA($D12:$I12)&lt;6,"",COUNTIF($D12:$I12,'5모델 고정세트'!$G$2)+COUNTIF($D12:$I12,'5모델 고정세트'!$H$2)+COUNTIF($D12:$I12,'5모델 고정세트'!$I$2)+COUNTIF($D12:$I12,'5모델 고정세트'!$J$2)+COUNTIF($D12:$I12,'5모델 고정세트'!$K$2)+COUNTIF($D12:$I12,'5모델 고정세트'!$L$2))</x:f>
      </x:c>
      <x:c r="AF12" t="str">
        <x:f>IF(COUNTA($D12:$I12)&lt;6,"",COUNTIF($D12:$I12,'5모델 고정세트'!$G$3)+COUNTIF($D12:$I12,'5모델 고정세트'!$H$3)+COUNTIF($D12:$I12,'5모델 고정세트'!$I$3)+COUNTIF($D12:$I12,'5모델 고정세트'!$J$3)+COUNTIF($D12:$I12,'5모델 고정세트'!$K$3)+COUNTIF($D12:$I12,'5모델 고정세트'!$L$3))</x:f>
      </x:c>
      <x:c r="AG12" t="str">
        <x:f>IF(COUNTA($D12:$I12)&lt;6,"",COUNTIF($D12:$I12,'5모델 고정세트'!$G$4)+COUNTIF($D12:$I12,'5모델 고정세트'!$H$4)+COUNTIF($D12:$I12,'5모델 고정세트'!$I$4)+COUNTIF($D12:$I12,'5모델 고정세트'!$J$4)+COUNTIF($D12:$I12,'5모델 고정세트'!$K$4)+COUNTIF($D12:$I12,'5모델 고정세트'!$L$4))</x:f>
      </x:c>
      <x:c r="AH12" t="str">
        <x:f>IF(COUNTA($D12:$I12)&lt;6,"",COUNTIF($D12:$I12,'5모델 고정세트'!$G$5)+COUNTIF($D12:$I12,'5모델 고정세트'!$H$5)+COUNTIF($D12:$I12,'5모델 고정세트'!$I$5)+COUNTIF($D12:$I12,'5모델 고정세트'!$J$5)+COUNTIF($D12:$I12,'5모델 고정세트'!$K$5)+COUNTIF($D12:$I12,'5모델 고정세트'!$L$5))</x:f>
      </x:c>
      <x:c r="AI12" t="str">
        <x:f>IF(COUNTA($D12:$I12)&lt;6,"",COUNTIF($D12:$I12,'5모델 고정세트'!$G$6)+COUNTIF($D12:$I12,'5모델 고정세트'!$H$6)+COUNTIF($D12:$I12,'5모델 고정세트'!$I$6)+COUNTIF($D12:$I12,'5모델 고정세트'!$J$6)+COUNTIF($D12:$I12,'5모델 고정세트'!$K$6)+COUNTIF($D12:$I12,'5모델 고정세트'!$L$6))</x:f>
      </x:c>
      <x:c r="AK12" t="str">
        <x:f>IF(COUNTA($D12:$I12)&lt;6,"",COUNTIF($D12:$I12,'5모델 고정세트'!$G$7)+COUNTIF($D12:$I12,'5모델 고정세트'!$H$7)+COUNTIF($D12:$I12,'5모델 고정세트'!$I$7)+COUNTIF($D12:$I12,'5모델 고정세트'!$J$7)+COUNTIF($D12:$I12,'5모델 고정세트'!$K$7)+COUNTIF($D12:$I12,'5모델 고정세트'!$L$7))</x:f>
      </x:c>
      <x:c r="AL12" t="str">
        <x:f>IF(COUNTA($D12:$I12)&lt;6,"",COUNTIF($D12:$I12,'5모델 고정세트'!$G$8)+COUNTIF($D12:$I12,'5모델 고정세트'!$H$8)+COUNTIF($D12:$I12,'5모델 고정세트'!$I$8)+COUNTIF($D12:$I12,'5모델 고정세트'!$J$8)+COUNTIF($D12:$I12,'5모델 고정세트'!$K$8)+COUNTIF($D12:$I12,'5모델 고정세트'!$L$8))</x:f>
      </x:c>
      <x:c r="AM12" t="str">
        <x:f>IF(COUNTA($D12:$I12)&lt;6,"",COUNTIF($D12:$I12,'5모델 고정세트'!$G$9)+COUNTIF($D12:$I12,'5모델 고정세트'!$H$9)+COUNTIF($D12:$I12,'5모델 고정세트'!$I$9)+COUNTIF($D12:$I12,'5모델 고정세트'!$J$9)+COUNTIF($D12:$I12,'5모델 고정세트'!$K$9)+COUNTIF($D12:$I12,'5모델 고정세트'!$L$9))</x:f>
      </x:c>
      <x:c r="AN12" t="str">
        <x:f>IF(COUNTA($D12:$I12)&lt;6,"",COUNTIF($D12:$I12,'5모델 고정세트'!$G$10)+COUNTIF($D12:$I12,'5모델 고정세트'!$H$10)+COUNTIF($D12:$I12,'5모델 고정세트'!$I$10)+COUNTIF($D12:$I12,'5모델 고정세트'!$J$10)+COUNTIF($D12:$I12,'5모델 고정세트'!$K$10)+COUNTIF($D12:$I12,'5모델 고정세트'!$L$10))</x:f>
      </x:c>
      <x:c r="AO12" t="str">
        <x:f>IF(COUNTA($D12:$I12)&lt;6,"",COUNTIF($D12:$I12,'5모델 고정세트'!$G$11)+COUNTIF($D12:$I12,'5모델 고정세트'!$H$11)+COUNTIF($D12:$I12,'5모델 고정세트'!$I$11)+COUNTIF($D12:$I12,'5모델 고정세트'!$J$11)+COUNTIF($D12:$I12,'5모델 고정세트'!$K$11)+COUNTIF($D12:$I12,'5모델 고정세트'!$L$11))</x:f>
      </x:c>
      <x:c r="AQ12" t="str">
        <x:f>IF(COUNTA($D12:$I12)&lt;6,"",COUNTIF($D12:$I12,'5모델 고정세트'!$G$12)+COUNTIF($D12:$I12,'5모델 고정세트'!$H$12)+COUNTIF($D12:$I12,'5모델 고정세트'!$I$12)+COUNTIF($D12:$I12,'5모델 고정세트'!$J$12)+COUNTIF($D12:$I12,'5모델 고정세트'!$K$12)+COUNTIF($D12:$I12,'5모델 고정세트'!$L$12))</x:f>
      </x:c>
      <x:c r="AR12" t="str">
        <x:f>IF(COUNTA($D12:$I12)&lt;6,"",COUNTIF($D12:$I12,'5모델 고정세트'!$G$13)+COUNTIF($D12:$I12,'5모델 고정세트'!$H$13)+COUNTIF($D12:$I12,'5모델 고정세트'!$I$13)+COUNTIF($D12:$I12,'5모델 고정세트'!$J$13)+COUNTIF($D12:$I12,'5모델 고정세트'!$K$13)+COUNTIF($D12:$I12,'5모델 고정세트'!$L$13))</x:f>
      </x:c>
      <x:c r="AS12" t="str">
        <x:f>IF(COUNTA($D12:$I12)&lt;6,"",COUNTIF($D12:$I12,'5모델 고정세트'!$G$14)+COUNTIF($D12:$I12,'5모델 고정세트'!$H$14)+COUNTIF($D12:$I12,'5모델 고정세트'!$I$14)+COUNTIF($D12:$I12,'5모델 고정세트'!$J$14)+COUNTIF($D12:$I12,'5모델 고정세트'!$K$14)+COUNTIF($D12:$I12,'5모델 고정세트'!$L$14))</x:f>
      </x:c>
      <x:c r="AT12" t="str">
        <x:f>IF(COUNTA($D12:$I12)&lt;6,"",COUNTIF($D12:$I12,'5모델 고정세트'!$G$15)+COUNTIF($D12:$I12,'5모델 고정세트'!$H$15)+COUNTIF($D12:$I12,'5모델 고정세트'!$I$15)+COUNTIF($D12:$I12,'5모델 고정세트'!$J$15)+COUNTIF($D12:$I12,'5모델 고정세트'!$K$15)+COUNTIF($D12:$I12,'5모델 고정세트'!$L$15))</x:f>
      </x:c>
      <x:c r="AU12" t="str">
        <x:f>IF(COUNTA($D12:$I12)&lt;6,"",COUNTIF($D12:$I12,'5모델 고정세트'!$G$16)+COUNTIF($D12:$I12,'5모델 고정세트'!$H$16)+COUNTIF($D12:$I12,'5모델 고정세트'!$I$16)+COUNTIF($D12:$I12,'5모델 고정세트'!$J$16)+COUNTIF($D12:$I12,'5모델 고정세트'!$K$16)+COUNTIF($D12:$I12,'5모델 고정세트'!$L$16))</x:f>
      </x:c>
      <x:c r="AW12" t="str">
        <x:f>IF(COUNTA($D12:$I12)&lt;6,"",COUNTIF($D12:$I12,'5모델 고정세트'!$G$17)+COUNTIF($D12:$I12,'5모델 고정세트'!$H$17)+COUNTIF($D12:$I12,'5모델 고정세트'!$I$17)+COUNTIF($D12:$I12,'5모델 고정세트'!$J$17)+COUNTIF($D12:$I12,'5모델 고정세트'!$K$17)+COUNTIF($D12:$I12,'5모델 고정세트'!$L$17))</x:f>
      </x:c>
      <x:c r="AX12" t="str">
        <x:f>IF(COUNTA($D12:$I12)&lt;6,"",COUNTIF($D12:$I12,'5모델 고정세트'!$G$18)+COUNTIF($D12:$I12,'5모델 고정세트'!$H$18)+COUNTIF($D12:$I12,'5모델 고정세트'!$I$18)+COUNTIF($D12:$I12,'5모델 고정세트'!$J$18)+COUNTIF($D12:$I12,'5모델 고정세트'!$K$18)+COUNTIF($D12:$I12,'5모델 고정세트'!$L$18))</x:f>
      </x:c>
      <x:c r="AY12" t="str">
        <x:f>IF(COUNTA($D12:$I12)&lt;6,"",COUNTIF($D12:$I12,'5모델 고정세트'!$G$19)+COUNTIF($D12:$I12,'5모델 고정세트'!$H$19)+COUNTIF($D12:$I12,'5모델 고정세트'!$I$19)+COUNTIF($D12:$I12,'5모델 고정세트'!$J$19)+COUNTIF($D12:$I12,'5모델 고정세트'!$K$19)+COUNTIF($D12:$I12,'5모델 고정세트'!$L$19))</x:f>
      </x:c>
      <x:c r="AZ12" t="str">
        <x:f>IF(COUNTA($D12:$I12)&lt;6,"",COUNTIF($D12:$I12,'5모델 고정세트'!$G$20)+COUNTIF($D12:$I12,'5모델 고정세트'!$H$20)+COUNTIF($D12:$I12,'5모델 고정세트'!$I$20)+COUNTIF($D12:$I12,'5모델 고정세트'!$J$20)+COUNTIF($D12:$I12,'5모델 고정세트'!$K$20)+COUNTIF($D12:$I12,'5모델 고정세트'!$L$20))</x:f>
      </x:c>
      <x:c r="BA12" t="str">
        <x:f>IF(COUNTA($D12:$I12)&lt;6,"",COUNTIF($D12:$I12,'5모델 고정세트'!$G$21)+COUNTIF($D12:$I12,'5모델 고정세트'!$H$21)+COUNTIF($D12:$I12,'5모델 고정세트'!$I$21)+COUNTIF($D12:$I12,'5모델 고정세트'!$J$21)+COUNTIF($D12:$I12,'5모델 고정세트'!$K$21)+COUNTIF($D12:$I12,'5모델 고정세트'!$L$21))</x:f>
      </x:c>
      <x:c r="BC12" t="str">
        <x:f>IF(COUNTA($D12:$I12)&lt;6,"",COUNTIF($D12:$I12,'5모델 고정세트'!$G$22)+COUNTIF($D12:$I12,'5모델 고정세트'!$H$22)+COUNTIF($D12:$I12,'5모델 고정세트'!$I$22)+COUNTIF($D12:$I12,'5모델 고정세트'!$J$22)+COUNTIF($D12:$I12,'5모델 고정세트'!$K$22)+COUNTIF($D12:$I12,'5모델 고정세트'!$L$22))</x:f>
      </x:c>
      <x:c r="BD12" t="str">
        <x:f>IF(COUNTA($D12:$I12)&lt;6,"",COUNTIF($D12:$I12,'5모델 고정세트'!$G$23)+COUNTIF($D12:$I12,'5모델 고정세트'!$H$23)+COUNTIF($D12:$I12,'5모델 고정세트'!$I$23)+COUNTIF($D12:$I12,'5모델 고정세트'!$J$23)+COUNTIF($D12:$I12,'5모델 고정세트'!$K$23)+COUNTIF($D12:$I12,'5모델 고정세트'!$L$23))</x:f>
      </x:c>
      <x:c r="BE12" t="str">
        <x:f>IF(COUNTA($D12:$I12)&lt;6,"",COUNTIF($D12:$I12,'5모델 고정세트'!$G$24)+COUNTIF($D12:$I12,'5모델 고정세트'!$H$24)+COUNTIF($D12:$I12,'5모델 고정세트'!$I$24)+COUNTIF($D12:$I12,'5모델 고정세트'!$J$24)+COUNTIF($D12:$I12,'5모델 고정세트'!$K$24)+COUNTIF($D12:$I12,'5모델 고정세트'!$L$24))</x:f>
      </x:c>
      <x:c r="BF12" t="str">
        <x:f>IF(COUNTA($D12:$I12)&lt;6,"",COUNTIF($D12:$I12,'5모델 고정세트'!$G$25)+COUNTIF($D12:$I12,'5모델 고정세트'!$H$25)+COUNTIF($D12:$I12,'5모델 고정세트'!$I$25)+COUNTIF($D12:$I12,'5모델 고정세트'!$J$25)+COUNTIF($D12:$I12,'5모델 고정세트'!$K$25)+COUNTIF($D12:$I12,'5모델 고정세트'!$L$25))</x:f>
      </x:c>
      <x:c r="BG12" t="str">
        <x:f>IF(COUNTA($D12:$I12)&lt;6,"",COUNTIF($D12:$I12,'5모델 고정세트'!$G$26)+COUNTIF($D12:$I12,'5모델 고정세트'!$H$26)+COUNTIF($D12:$I12,'5모델 고정세트'!$I$26)+COUNTIF($D12:$I12,'5모델 고정세트'!$J$26)+COUNTIF($D12:$I12,'5모델 고정세트'!$K$26)+COUNTIF($D12:$I12,'5모델 고정세트'!$L$26))</x:f>
      </x:c>
    </x:row>
    <x:row r="13">
      <x:c r="A13" s="285" t="n">
        <x:v>1245</x:v>
      </x:c>
      <x:c r="B13" s="286" t="str">
        <x:v>2026-10-10</x:v>
      </x:c>
      <x:c r="C13" s="286" t="str">
        <x:f>IF(COUNTA(D13:I13)=6,"확정","대기")</x:f>
        <x:v>대기</x:v>
      </x:c>
      <x:c r="D13" s="286"/>
      <x:c r="E13" s="286"/>
      <x:c r="F13" s="286"/>
      <x:c r="G13" s="286"/>
      <x:c r="H13" s="286"/>
      <x:c r="I13" s="286"/>
      <x:c r="J13" s="286" t="str">
        <x:f>IF(COUNTA($D13:$I13)&lt;6,"",MAX(AE13:AI13))</x:f>
      </x:c>
      <x:c r="K13" s="286" t="str">
        <x:f>IF(J13="","",COUNTIF(AE13:AI13,"&gt;=3"))</x:f>
      </x:c>
      <x:c r="L13" s="286" t="str">
        <x:f>IF(J13="","",COUNTIF(AE13:AI13,"&gt;=4"))</x:f>
      </x:c>
      <x:c r="M13" s="286" t="str">
        <x:f>IF(J13="","",COUNTIF(AE13:AI13,"&gt;=5"))</x:f>
      </x:c>
      <x:c r="N13" s="286" t="str">
        <x:f>IF(COUNTA($D13:$I13)&lt;6,"",MAX(AK13:AO13))</x:f>
      </x:c>
      <x:c r="O13" s="286" t="str">
        <x:f>IF(N13="","",COUNTIF(AK13:AO13,"&gt;=3"))</x:f>
      </x:c>
      <x:c r="P13" s="286" t="str">
        <x:f>IF(N13="","",COUNTIF(AK13:AO13,"&gt;=4"))</x:f>
      </x:c>
      <x:c r="Q13" s="286" t="str">
        <x:f>IF(N13="","",COUNTIF(AK13:AO13,"&gt;=5"))</x:f>
      </x:c>
      <x:c r="R13" s="286" t="str">
        <x:f>IF(COUNTA($D13:$I13)&lt;6,"",MAX(AQ13:AU13))</x:f>
      </x:c>
      <x:c r="S13" s="286" t="str">
        <x:f>IF(R13="","",COUNTIF(AQ13:AU13,"&gt;=3"))</x:f>
      </x:c>
      <x:c r="T13" s="286" t="str">
        <x:f>IF(R13="","",COUNTIF(AQ13:AU13,"&gt;=4"))</x:f>
      </x:c>
      <x:c r="U13" s="286" t="str">
        <x:f>IF(R13="","",COUNTIF(AQ13:AU13,"&gt;=5"))</x:f>
      </x:c>
      <x:c r="V13" s="286" t="str">
        <x:f>IF(COUNTA($D13:$I13)&lt;6,"",MAX(AW13:BA13))</x:f>
      </x:c>
      <x:c r="W13" s="286" t="str">
        <x:f>IF(V13="","",COUNTIF(AW13:BA13,"&gt;=3"))</x:f>
      </x:c>
      <x:c r="X13" s="286" t="str">
        <x:f>IF(V13="","",COUNTIF(AW13:BA13,"&gt;=4"))</x:f>
      </x:c>
      <x:c r="Y13" s="286" t="str">
        <x:f>IF(V13="","",COUNTIF(AW13:BA13,"&gt;=5"))</x:f>
      </x:c>
      <x:c r="Z13" s="286" t="str">
        <x:f>IF(COUNTA($D13:$I13)&lt;6,"",MAX(BC13:BG13))</x:f>
      </x:c>
      <x:c r="AA13" s="286" t="str">
        <x:f>IF(Z13="","",COUNTIF(BC13:BG13,"&gt;=3"))</x:f>
      </x:c>
      <x:c r="AB13" s="286" t="str">
        <x:f>IF(Z13="","",COUNTIF(BC13:BG13,"&gt;=4"))</x:f>
      </x:c>
      <x:c r="AC13" s="287" t="str">
        <x:f>IF(Z13="","",COUNTIF(BC13:BG13,"&gt;=5"))</x:f>
      </x:c>
      <x:c r="AE13" t="str">
        <x:f>IF(COUNTA($D13:$I13)&lt;6,"",COUNTIF($D13:$I13,'5모델 고정세트'!$G$2)+COUNTIF($D13:$I13,'5모델 고정세트'!$H$2)+COUNTIF($D13:$I13,'5모델 고정세트'!$I$2)+COUNTIF($D13:$I13,'5모델 고정세트'!$J$2)+COUNTIF($D13:$I13,'5모델 고정세트'!$K$2)+COUNTIF($D13:$I13,'5모델 고정세트'!$L$2))</x:f>
      </x:c>
      <x:c r="AF13" t="str">
        <x:f>IF(COUNTA($D13:$I13)&lt;6,"",COUNTIF($D13:$I13,'5모델 고정세트'!$G$3)+COUNTIF($D13:$I13,'5모델 고정세트'!$H$3)+COUNTIF($D13:$I13,'5모델 고정세트'!$I$3)+COUNTIF($D13:$I13,'5모델 고정세트'!$J$3)+COUNTIF($D13:$I13,'5모델 고정세트'!$K$3)+COUNTIF($D13:$I13,'5모델 고정세트'!$L$3))</x:f>
      </x:c>
      <x:c r="AG13" t="str">
        <x:f>IF(COUNTA($D13:$I13)&lt;6,"",COUNTIF($D13:$I13,'5모델 고정세트'!$G$4)+COUNTIF($D13:$I13,'5모델 고정세트'!$H$4)+COUNTIF($D13:$I13,'5모델 고정세트'!$I$4)+COUNTIF($D13:$I13,'5모델 고정세트'!$J$4)+COUNTIF($D13:$I13,'5모델 고정세트'!$K$4)+COUNTIF($D13:$I13,'5모델 고정세트'!$L$4))</x:f>
      </x:c>
      <x:c r="AH13" t="str">
        <x:f>IF(COUNTA($D13:$I13)&lt;6,"",COUNTIF($D13:$I13,'5모델 고정세트'!$G$5)+COUNTIF($D13:$I13,'5모델 고정세트'!$H$5)+COUNTIF($D13:$I13,'5모델 고정세트'!$I$5)+COUNTIF($D13:$I13,'5모델 고정세트'!$J$5)+COUNTIF($D13:$I13,'5모델 고정세트'!$K$5)+COUNTIF($D13:$I13,'5모델 고정세트'!$L$5))</x:f>
      </x:c>
      <x:c r="AI13" t="str">
        <x:f>IF(COUNTA($D13:$I13)&lt;6,"",COUNTIF($D13:$I13,'5모델 고정세트'!$G$6)+COUNTIF($D13:$I13,'5모델 고정세트'!$H$6)+COUNTIF($D13:$I13,'5모델 고정세트'!$I$6)+COUNTIF($D13:$I13,'5모델 고정세트'!$J$6)+COUNTIF($D13:$I13,'5모델 고정세트'!$K$6)+COUNTIF($D13:$I13,'5모델 고정세트'!$L$6))</x:f>
      </x:c>
      <x:c r="AK13" t="str">
        <x:f>IF(COUNTA($D13:$I13)&lt;6,"",COUNTIF($D13:$I13,'5모델 고정세트'!$G$7)+COUNTIF($D13:$I13,'5모델 고정세트'!$H$7)+COUNTIF($D13:$I13,'5모델 고정세트'!$I$7)+COUNTIF($D13:$I13,'5모델 고정세트'!$J$7)+COUNTIF($D13:$I13,'5모델 고정세트'!$K$7)+COUNTIF($D13:$I13,'5모델 고정세트'!$L$7))</x:f>
      </x:c>
      <x:c r="AL13" t="str">
        <x:f>IF(COUNTA($D13:$I13)&lt;6,"",COUNTIF($D13:$I13,'5모델 고정세트'!$G$8)+COUNTIF($D13:$I13,'5모델 고정세트'!$H$8)+COUNTIF($D13:$I13,'5모델 고정세트'!$I$8)+COUNTIF($D13:$I13,'5모델 고정세트'!$J$8)+COUNTIF($D13:$I13,'5모델 고정세트'!$K$8)+COUNTIF($D13:$I13,'5모델 고정세트'!$L$8))</x:f>
      </x:c>
      <x:c r="AM13" t="str">
        <x:f>IF(COUNTA($D13:$I13)&lt;6,"",COUNTIF($D13:$I13,'5모델 고정세트'!$G$9)+COUNTIF($D13:$I13,'5모델 고정세트'!$H$9)+COUNTIF($D13:$I13,'5모델 고정세트'!$I$9)+COUNTIF($D13:$I13,'5모델 고정세트'!$J$9)+COUNTIF($D13:$I13,'5모델 고정세트'!$K$9)+COUNTIF($D13:$I13,'5모델 고정세트'!$L$9))</x:f>
      </x:c>
      <x:c r="AN13" t="str">
        <x:f>IF(COUNTA($D13:$I13)&lt;6,"",COUNTIF($D13:$I13,'5모델 고정세트'!$G$10)+COUNTIF($D13:$I13,'5모델 고정세트'!$H$10)+COUNTIF($D13:$I13,'5모델 고정세트'!$I$10)+COUNTIF($D13:$I13,'5모델 고정세트'!$J$10)+COUNTIF($D13:$I13,'5모델 고정세트'!$K$10)+COUNTIF($D13:$I13,'5모델 고정세트'!$L$10))</x:f>
      </x:c>
      <x:c r="AO13" t="str">
        <x:f>IF(COUNTA($D13:$I13)&lt;6,"",COUNTIF($D13:$I13,'5모델 고정세트'!$G$11)+COUNTIF($D13:$I13,'5모델 고정세트'!$H$11)+COUNTIF($D13:$I13,'5모델 고정세트'!$I$11)+COUNTIF($D13:$I13,'5모델 고정세트'!$J$11)+COUNTIF($D13:$I13,'5모델 고정세트'!$K$11)+COUNTIF($D13:$I13,'5모델 고정세트'!$L$11))</x:f>
      </x:c>
      <x:c r="AQ13" t="str">
        <x:f>IF(COUNTA($D13:$I13)&lt;6,"",COUNTIF($D13:$I13,'5모델 고정세트'!$G$12)+COUNTIF($D13:$I13,'5모델 고정세트'!$H$12)+COUNTIF($D13:$I13,'5모델 고정세트'!$I$12)+COUNTIF($D13:$I13,'5모델 고정세트'!$J$12)+COUNTIF($D13:$I13,'5모델 고정세트'!$K$12)+COUNTIF($D13:$I13,'5모델 고정세트'!$L$12))</x:f>
      </x:c>
      <x:c r="AR13" t="str">
        <x:f>IF(COUNTA($D13:$I13)&lt;6,"",COUNTIF($D13:$I13,'5모델 고정세트'!$G$13)+COUNTIF($D13:$I13,'5모델 고정세트'!$H$13)+COUNTIF($D13:$I13,'5모델 고정세트'!$I$13)+COUNTIF($D13:$I13,'5모델 고정세트'!$J$13)+COUNTIF($D13:$I13,'5모델 고정세트'!$K$13)+COUNTIF($D13:$I13,'5모델 고정세트'!$L$13))</x:f>
      </x:c>
      <x:c r="AS13" t="str">
        <x:f>IF(COUNTA($D13:$I13)&lt;6,"",COUNTIF($D13:$I13,'5모델 고정세트'!$G$14)+COUNTIF($D13:$I13,'5모델 고정세트'!$H$14)+COUNTIF($D13:$I13,'5모델 고정세트'!$I$14)+COUNTIF($D13:$I13,'5모델 고정세트'!$J$14)+COUNTIF($D13:$I13,'5모델 고정세트'!$K$14)+COUNTIF($D13:$I13,'5모델 고정세트'!$L$14))</x:f>
      </x:c>
      <x:c r="AT13" t="str">
        <x:f>IF(COUNTA($D13:$I13)&lt;6,"",COUNTIF($D13:$I13,'5모델 고정세트'!$G$15)+COUNTIF($D13:$I13,'5모델 고정세트'!$H$15)+COUNTIF($D13:$I13,'5모델 고정세트'!$I$15)+COUNTIF($D13:$I13,'5모델 고정세트'!$J$15)+COUNTIF($D13:$I13,'5모델 고정세트'!$K$15)+COUNTIF($D13:$I13,'5모델 고정세트'!$L$15))</x:f>
      </x:c>
      <x:c r="AU13" t="str">
        <x:f>IF(COUNTA($D13:$I13)&lt;6,"",COUNTIF($D13:$I13,'5모델 고정세트'!$G$16)+COUNTIF($D13:$I13,'5모델 고정세트'!$H$16)+COUNTIF($D13:$I13,'5모델 고정세트'!$I$16)+COUNTIF($D13:$I13,'5모델 고정세트'!$J$16)+COUNTIF($D13:$I13,'5모델 고정세트'!$K$16)+COUNTIF($D13:$I13,'5모델 고정세트'!$L$16))</x:f>
      </x:c>
      <x:c r="AW13" t="str">
        <x:f>IF(COUNTA($D13:$I13)&lt;6,"",COUNTIF($D13:$I13,'5모델 고정세트'!$G$17)+COUNTIF($D13:$I13,'5모델 고정세트'!$H$17)+COUNTIF($D13:$I13,'5모델 고정세트'!$I$17)+COUNTIF($D13:$I13,'5모델 고정세트'!$J$17)+COUNTIF($D13:$I13,'5모델 고정세트'!$K$17)+COUNTIF($D13:$I13,'5모델 고정세트'!$L$17))</x:f>
      </x:c>
      <x:c r="AX13" t="str">
        <x:f>IF(COUNTA($D13:$I13)&lt;6,"",COUNTIF($D13:$I13,'5모델 고정세트'!$G$18)+COUNTIF($D13:$I13,'5모델 고정세트'!$H$18)+COUNTIF($D13:$I13,'5모델 고정세트'!$I$18)+COUNTIF($D13:$I13,'5모델 고정세트'!$J$18)+COUNTIF($D13:$I13,'5모델 고정세트'!$K$18)+COUNTIF($D13:$I13,'5모델 고정세트'!$L$18))</x:f>
      </x:c>
      <x:c r="AY13" t="str">
        <x:f>IF(COUNTA($D13:$I13)&lt;6,"",COUNTIF($D13:$I13,'5모델 고정세트'!$G$19)+COUNTIF($D13:$I13,'5모델 고정세트'!$H$19)+COUNTIF($D13:$I13,'5모델 고정세트'!$I$19)+COUNTIF($D13:$I13,'5모델 고정세트'!$J$19)+COUNTIF($D13:$I13,'5모델 고정세트'!$K$19)+COUNTIF($D13:$I13,'5모델 고정세트'!$L$19))</x:f>
      </x:c>
      <x:c r="AZ13" t="str">
        <x:f>IF(COUNTA($D13:$I13)&lt;6,"",COUNTIF($D13:$I13,'5모델 고정세트'!$G$20)+COUNTIF($D13:$I13,'5모델 고정세트'!$H$20)+COUNTIF($D13:$I13,'5모델 고정세트'!$I$20)+COUNTIF($D13:$I13,'5모델 고정세트'!$J$20)+COUNTIF($D13:$I13,'5모델 고정세트'!$K$20)+COUNTIF($D13:$I13,'5모델 고정세트'!$L$20))</x:f>
      </x:c>
      <x:c r="BA13" t="str">
        <x:f>IF(COUNTA($D13:$I13)&lt;6,"",COUNTIF($D13:$I13,'5모델 고정세트'!$G$21)+COUNTIF($D13:$I13,'5모델 고정세트'!$H$21)+COUNTIF($D13:$I13,'5모델 고정세트'!$I$21)+COUNTIF($D13:$I13,'5모델 고정세트'!$J$21)+COUNTIF($D13:$I13,'5모델 고정세트'!$K$21)+COUNTIF($D13:$I13,'5모델 고정세트'!$L$21))</x:f>
      </x:c>
      <x:c r="BC13" t="str">
        <x:f>IF(COUNTA($D13:$I13)&lt;6,"",COUNTIF($D13:$I13,'5모델 고정세트'!$G$22)+COUNTIF($D13:$I13,'5모델 고정세트'!$H$22)+COUNTIF($D13:$I13,'5모델 고정세트'!$I$22)+COUNTIF($D13:$I13,'5모델 고정세트'!$J$22)+COUNTIF($D13:$I13,'5모델 고정세트'!$K$22)+COUNTIF($D13:$I13,'5모델 고정세트'!$L$22))</x:f>
      </x:c>
      <x:c r="BD13" t="str">
        <x:f>IF(COUNTA($D13:$I13)&lt;6,"",COUNTIF($D13:$I13,'5모델 고정세트'!$G$23)+COUNTIF($D13:$I13,'5모델 고정세트'!$H$23)+COUNTIF($D13:$I13,'5모델 고정세트'!$I$23)+COUNTIF($D13:$I13,'5모델 고정세트'!$J$23)+COUNTIF($D13:$I13,'5모델 고정세트'!$K$23)+COUNTIF($D13:$I13,'5모델 고정세트'!$L$23))</x:f>
      </x:c>
      <x:c r="BE13" t="str">
        <x:f>IF(COUNTA($D13:$I13)&lt;6,"",COUNTIF($D13:$I13,'5모델 고정세트'!$G$24)+COUNTIF($D13:$I13,'5모델 고정세트'!$H$24)+COUNTIF($D13:$I13,'5모델 고정세트'!$I$24)+COUNTIF($D13:$I13,'5모델 고정세트'!$J$24)+COUNTIF($D13:$I13,'5모델 고정세트'!$K$24)+COUNTIF($D13:$I13,'5모델 고정세트'!$L$24))</x:f>
      </x:c>
      <x:c r="BF13" t="str">
        <x:f>IF(COUNTA($D13:$I13)&lt;6,"",COUNTIF($D13:$I13,'5모델 고정세트'!$G$25)+COUNTIF($D13:$I13,'5모델 고정세트'!$H$25)+COUNTIF($D13:$I13,'5모델 고정세트'!$I$25)+COUNTIF($D13:$I13,'5모델 고정세트'!$J$25)+COUNTIF($D13:$I13,'5모델 고정세트'!$K$25)+COUNTIF($D13:$I13,'5모델 고정세트'!$L$25))</x:f>
      </x:c>
      <x:c r="BG13" t="str">
        <x:f>IF(COUNTA($D13:$I13)&lt;6,"",COUNTIF($D13:$I13,'5모델 고정세트'!$G$26)+COUNTIF($D13:$I13,'5모델 고정세트'!$H$26)+COUNTIF($D13:$I13,'5모델 고정세트'!$I$26)+COUNTIF($D13:$I13,'5모델 고정세트'!$J$26)+COUNTIF($D13:$I13,'5모델 고정세트'!$K$26)+COUNTIF($D13:$I13,'5모델 고정세트'!$L$26))</x:f>
      </x:c>
    </x:row>
    <x:row r="17">
      <x:c r="A17" s="91" t="str">
        <x:v>모델</x:v>
      </x:c>
      <x:c r="B17" s="92" t="str">
        <x:v>구분</x:v>
      </x:c>
      <x:c r="C17" s="92" t="str">
        <x:v>최고 적중</x:v>
      </x:c>
      <x:c r="D17" s="92" t="str">
        <x:v>3개+ 티켓</x:v>
      </x:c>
      <x:c r="E17" s="92" t="str">
        <x:v>4개+ 티켓</x:v>
      </x:c>
      <x:c r="F17" s="92" t="str">
        <x:v>5개+ 티켓</x:v>
      </x:c>
      <x:c r="G17" s="92" t="str">
        <x:v>4개+ 당첨회차</x:v>
      </x:c>
      <x:c r="H17" s="93" t="str">
        <x:v>현재 순위 메모</x:v>
      </x:c>
    </x:row>
    <x:row r="18">
      <x:c r="A18" s="169" t="str">
        <x:v>공식 순수 3수</x:v>
      </x:c>
      <x:c r="B18" s="170" t="str">
        <x:v>공식</x:v>
      </x:c>
      <x:c r="C18" s="170" t="n">
        <x:f>IFERROR(MAX(J2:J13),0)</x:f>
        <x:v>0</x:v>
      </x:c>
      <x:c r="D18" s="170" t="n">
        <x:f>SUM(K2:K13)</x:f>
        <x:v>0</x:v>
      </x:c>
      <x:c r="E18" s="170" t="n">
        <x:f>SUM(L2:L13)</x:f>
        <x:v>0</x:v>
      </x:c>
      <x:c r="F18" s="170" t="n">
        <x:f>SUM(M2:M13)</x:f>
        <x:v>0</x:v>
      </x:c>
      <x:c r="G18" s="170" t="n">
        <x:f>COUNTIF(L2:L13,"&gt;0")</x:f>
        <x:v>0</x:v>
      </x:c>
      <x:c r="H18" s="174" t="str">
        <x:v>1245회 전 공식 교체 금지</x:v>
      </x:c>
    </x:row>
    <x:row r="19">
      <x:c r="A19" s="116" t="str">
        <x:v>혼합 2T+3Q</x:v>
      </x:c>
      <x:c r="B19" s="117" t="str">
        <x:v>그림자</x:v>
      </x:c>
      <x:c r="C19" s="117" t="n">
        <x:f>IFERROR(MAX(N2:N13),0)</x:f>
        <x:v>0</x:v>
      </x:c>
      <x:c r="D19" s="117" t="n">
        <x:f>SUM(O2:O13)</x:f>
        <x:v>0</x:v>
      </x:c>
      <x:c r="E19" s="117" t="n">
        <x:f>SUM(P2:P13)</x:f>
        <x:v>0</x:v>
      </x:c>
      <x:c r="F19" s="117" t="n">
        <x:f>SUM(Q2:Q13)</x:f>
        <x:v>0</x:v>
      </x:c>
      <x:c r="G19" s="117" t="n">
        <x:f>COUNTIF(P2:P13,"&gt;0")</x:f>
        <x:v>0</x:v>
      </x:c>
      <x:c r="H19" s="118" t="str">
        <x:v>1245회 전 공식 교체 금지</x:v>
      </x:c>
    </x:row>
    <x:row r="20">
      <x:c r="A20" s="116" t="str">
        <x:v>순수 4수</x:v>
      </x:c>
      <x:c r="B20" s="117" t="str">
        <x:v>그림자</x:v>
      </x:c>
      <x:c r="C20" s="117" t="n">
        <x:f>IFERROR(MAX(R2:R13),0)</x:f>
        <x:v>0</x:v>
      </x:c>
      <x:c r="D20" s="117" t="n">
        <x:f>SUM(S2:S13)</x:f>
        <x:v>0</x:v>
      </x:c>
      <x:c r="E20" s="117" t="n">
        <x:f>SUM(T2:T13)</x:f>
        <x:v>0</x:v>
      </x:c>
      <x:c r="F20" s="117" t="n">
        <x:f>SUM(U2:U13)</x:f>
        <x:v>0</x:v>
      </x:c>
      <x:c r="G20" s="117" t="n">
        <x:f>COUNTIF(T2:T13,"&gt;0")</x:f>
        <x:v>0</x:v>
      </x:c>
      <x:c r="H20" s="118" t="str">
        <x:v>1245회 전 공식 교체 금지</x:v>
      </x:c>
    </x:row>
    <x:row r="21">
      <x:c r="A21" s="116" t="str">
        <x:v>번호 다양성</x:v>
      </x:c>
      <x:c r="B21" s="117" t="str">
        <x:v>그림자</x:v>
      </x:c>
      <x:c r="C21" s="117" t="n">
        <x:f>IFERROR(MAX(V2:V13),0)</x:f>
        <x:v>0</x:v>
      </x:c>
      <x:c r="D21" s="117" t="n">
        <x:f>SUM(W2:W13)</x:f>
        <x:v>0</x:v>
      </x:c>
      <x:c r="E21" s="117" t="n">
        <x:f>SUM(X2:X13)</x:f>
        <x:v>0</x:v>
      </x:c>
      <x:c r="F21" s="117" t="n">
        <x:f>SUM(Y2:Y13)</x:f>
        <x:v>0</x:v>
      </x:c>
      <x:c r="G21" s="117" t="n">
        <x:f>COUNTIF(X2:X13,"&gt;0")</x:f>
        <x:v>0</x:v>
      </x:c>
      <x:c r="H21" s="118" t="str">
        <x:v>1245회 전 공식 교체 금지</x:v>
      </x:c>
    </x:row>
    <x:row r="22">
      <x:c r="A22" s="119" t="str">
        <x:v>고정 무작위</x:v>
      </x:c>
      <x:c r="B22" s="120" t="str">
        <x:v>대조</x:v>
      </x:c>
      <x:c r="C22" s="120" t="n">
        <x:f>IFERROR(MAX(Z2:Z13),0)</x:f>
        <x:v>0</x:v>
      </x:c>
      <x:c r="D22" s="120" t="n">
        <x:f>SUM(AA2:AA13)</x:f>
        <x:v>0</x:v>
      </x:c>
      <x:c r="E22" s="120" t="n">
        <x:f>SUM(AB2:AB13)</x:f>
        <x:v>0</x:v>
      </x:c>
      <x:c r="F22" s="120" t="n">
        <x:f>SUM(AC2:AC13)</x:f>
        <x:v>0</x:v>
      </x:c>
      <x:c r="G22" s="120" t="n">
        <x:f>COUNTIF(AB2:AB13,"&gt;0")</x:f>
        <x:v>0</x:v>
      </x:c>
      <x:c r="H22" s="121" t="str">
        <x:v>1245회 전 공식 교체 금지</x:v>
      </x:c>
    </x:row>
  </x:sheetData>
  <x:conditionalFormatting sqref="C2:C13">
    <x:cfRule type="expression" dxfId="2" priority="1">
      <x:formula>C2="확정"</x:formula>
    </x:cfRule>
    <x:cfRule type="expression" dxfId="3" priority="2">
      <x:formula>C2="대기"</x:formula>
    </x:cfRule>
  </x:conditionalFormatting>
  <x:conditionalFormatting sqref="L2:L13">
    <x:cfRule type="cellIs" dxfId="4" priority="3" operator="greaterThan">
      <x:formula>0</x:formula>
    </x:cfRule>
  </x:conditionalFormatting>
  <x:conditionalFormatting sqref="M2:M13">
    <x:cfRule type="cellIs" dxfId="5" priority="4" operator="greaterThan">
      <x:formula>0</x:formula>
    </x:cfRule>
  </x:conditionalFormatting>
  <x:conditionalFormatting sqref="P2:P13">
    <x:cfRule type="cellIs" dxfId="6" priority="5" operator="greaterThan">
      <x:formula>0</x:formula>
    </x:cfRule>
  </x:conditionalFormatting>
  <x:conditionalFormatting sqref="Q2:Q13">
    <x:cfRule type="cellIs" dxfId="7" priority="6" operator="greaterThan">
      <x:formula>0</x:formula>
    </x:cfRule>
  </x:conditionalFormatting>
  <x:conditionalFormatting sqref="T2:T13">
    <x:cfRule type="cellIs" dxfId="8" priority="7" operator="greaterThan">
      <x:formula>0</x:formula>
    </x:cfRule>
  </x:conditionalFormatting>
  <x:conditionalFormatting sqref="U2:U13">
    <x:cfRule type="cellIs" dxfId="9" priority="8" operator="greaterThan">
      <x:formula>0</x:formula>
    </x:cfRule>
  </x:conditionalFormatting>
  <x:conditionalFormatting sqref="X2:X13">
    <x:cfRule type="cellIs" dxfId="10" priority="9" operator="greaterThan">
      <x:formula>0</x:formula>
    </x:cfRule>
  </x:conditionalFormatting>
  <x:conditionalFormatting sqref="Y2:Y13">
    <x:cfRule type="cellIs" dxfId="11" priority="10" operator="greaterThan">
      <x:formula>0</x:formula>
    </x:cfRule>
  </x:conditionalFormatting>
  <x:conditionalFormatting sqref="AB2:AB13">
    <x:cfRule type="cellIs" dxfId="12" priority="11" operator="greaterThan">
      <x:formula>0</x:formula>
    </x:cfRule>
  </x:conditionalFormatting>
  <x:conditionalFormatting sqref="AC2:AC13">
    <x:cfRule type="cellIs" dxfId="13" priority="1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91" t="str">
        <x:v>모델</x:v>
      </x:c>
      <x:c r="B1" s="92" t="str">
        <x:v>고유번호</x:v>
      </x:c>
      <x:c r="C1" s="92" t="str">
        <x:v>커버율</x:v>
      </x:c>
      <x:c r="D1" s="92" t="str">
        <x:v>평균겹침</x:v>
      </x:c>
      <x:c r="E1" s="92" t="str">
        <x:v>최대겹침</x:v>
      </x:c>
      <x:c r="F1" s="92" t="str">
        <x:v>최대노출</x:v>
      </x:c>
      <x:c r="G1" s="92" t="str">
        <x:v>집중번호</x:v>
      </x:c>
      <x:c r="H1" s="92" t="str">
        <x:v>공식과 공통세트</x:v>
      </x:c>
      <x:c r="I1" s="92" t="str">
        <x:v>공식과 공통번호</x:v>
      </x:c>
      <x:c r="J1" s="93" t="str">
        <x:v>해석</x:v>
      </x:c>
    </x:row>
    <x:row r="2">
      <x:c r="A2" s="169" t="str">
        <x:v>공식 순수 3수</x:v>
      </x:c>
      <x:c r="B2" s="170" t="n">
        <x:v>28</x:v>
      </x:c>
      <x:c r="C2" s="171" t="n">
        <x:v>0.6222222222222222</x:v>
      </x:c>
      <x:c r="D2" s="172" t="n">
        <x:v>0.3</x:v>
      </x:c>
      <x:c r="E2" s="170" t="n">
        <x:v>1</x:v>
      </x:c>
      <x:c r="F2" s="170" t="n">
        <x:v>3</x:v>
      </x:c>
      <x:c r="G2" s="170" t="str">
        <x:v>20</x:v>
      </x:c>
      <x:c r="H2" s="170" t="n">
        <x:v>5</x:v>
      </x:c>
      <x:c r="I2" s="170" t="n">
        <x:v>28</x:v>
      </x:c>
      <x:c r="J2" s="174" t="str">
        <x:v>기준 모델</x:v>
      </x:c>
    </x:row>
    <x:row r="3">
      <x:c r="A3" s="116" t="str">
        <x:v>혼합 2T+3Q</x:v>
      </x:c>
      <x:c r="B3" s="117" t="n">
        <x:v>29</x:v>
      </x:c>
      <x:c r="C3" s="140" t="n">
        <x:v>0.6444444444444445</x:v>
      </x:c>
      <x:c r="D3" s="146" t="n">
        <x:v>0.1</x:v>
      </x:c>
      <x:c r="E3" s="117" t="n">
        <x:v>1</x:v>
      </x:c>
      <x:c r="F3" s="117" t="n">
        <x:v>2</x:v>
      </x:c>
      <x:c r="G3" s="117" t="str">
        <x:v>20</x:v>
      </x:c>
      <x:c r="H3" s="117" t="n">
        <x:v>4</x:v>
      </x:c>
      <x:c r="I3" s="117" t="n">
        <x:v>24</x:v>
      </x:c>
      <x:c r="J3" s="118" t="str">
        <x:v>동일 후보 풀 알고리즘 비교</x:v>
      </x:c>
    </x:row>
    <x:row r="4">
      <x:c r="A4" s="116" t="str">
        <x:v>순수 4수</x:v>
      </x:c>
      <x:c r="B4" s="117" t="n">
        <x:v>29</x:v>
      </x:c>
      <x:c r="C4" s="140" t="n">
        <x:v>0.6444444444444445</x:v>
      </x:c>
      <x:c r="D4" s="146" t="n">
        <x:v>0.1</x:v>
      </x:c>
      <x:c r="E4" s="117" t="n">
        <x:v>1</x:v>
      </x:c>
      <x:c r="F4" s="117" t="n">
        <x:v>2</x:v>
      </x:c>
      <x:c r="G4" s="117" t="str">
        <x:v>20</x:v>
      </x:c>
      <x:c r="H4" s="117" t="n">
        <x:v>3</x:v>
      </x:c>
      <x:c r="I4" s="117" t="n">
        <x:v>22</x:v>
      </x:c>
      <x:c r="J4" s="118" t="str">
        <x:v>동일 후보 풀 알고리즘 비교</x:v>
      </x:c>
    </x:row>
    <x:row r="5">
      <x:c r="A5" s="116" t="str">
        <x:v>번호 다양성</x:v>
      </x:c>
      <x:c r="B5" s="117" t="n">
        <x:v>29</x:v>
      </x:c>
      <x:c r="C5" s="140" t="n">
        <x:v>0.6444444444444445</x:v>
      </x:c>
      <x:c r="D5" s="146" t="n">
        <x:v>0.1</x:v>
      </x:c>
      <x:c r="E5" s="117" t="n">
        <x:v>1</x:v>
      </x:c>
      <x:c r="F5" s="117" t="n">
        <x:v>2</x:v>
      </x:c>
      <x:c r="G5" s="117" t="str">
        <x:v>27</x:v>
      </x:c>
      <x:c r="H5" s="117" t="n">
        <x:v>0</x:v>
      </x:c>
      <x:c r="I5" s="117" t="n">
        <x:v>17</x:v>
      </x:c>
      <x:c r="J5" s="118" t="str">
        <x:v>동일 후보 풀 알고리즘 비교</x:v>
      </x:c>
    </x:row>
    <x:row r="6">
      <x:c r="A6" s="119" t="str">
        <x:v>고정 무작위</x:v>
      </x:c>
      <x:c r="B6" s="120" t="n">
        <x:v>25</x:v>
      </x:c>
      <x:c r="C6" s="141" t="n">
        <x:v>0.5555555555555556</x:v>
      </x:c>
      <x:c r="D6" s="147" t="n">
        <x:v>0.5</x:v>
      </x:c>
      <x:c r="E6" s="120" t="n">
        <x:v>2</x:v>
      </x:c>
      <x:c r="F6" s="120" t="n">
        <x:v>2</x:v>
      </x:c>
      <x:c r="G6" s="120" t="str">
        <x:v>24 · 26 · 27 · 36 · 45</x:v>
      </x:c>
      <x:c r="H6" s="120" t="n">
        <x:v>1</x:v>
      </x:c>
      <x:c r="I6" s="120" t="n">
        <x:v>13</x:v>
      </x:c>
      <x:c r="J6" s="121" t="str">
        <x:v>완전 무작위 대조</x:v>
      </x:c>
    </x:row>
    <x:row r="9">
      <x:c r="A9" s="316" t="str">
        <x:v>공정성 원칙: 다섯 방식은 모두 같은 45회 입력, 같은 후보 생성기, 같은 세트 수를 사용합니다. 차이는 35개 안팎 후보를 어떤 기준으로 다섯 개 고르느냐뿐입니다. 고정 무작위 대조도 같은 후보 풀에서 SHA-256 기반 시드로 한 번 뽑아 봉인했습니다. 1234회 결과가 나온 뒤 무작위 세트를 다시 뽑지 않습니다.</x:v>
      </x:c>
      <x:c r="B9" s="317"/>
      <x:c r="C9" s="317"/>
      <x:c r="D9" s="317"/>
      <x:c r="E9" s="317"/>
      <x:c r="F9" s="317"/>
      <x:c r="G9" s="317"/>
      <x:c r="H9" s="317"/>
      <x:c r="I9" s="317"/>
      <x:c r="J9" s="318"/>
    </x:row>
    <x:row r="10">
      <x:c r="A10" s="319"/>
      <x:c r="B10" s="320"/>
      <x:c r="C10" s="320"/>
      <x:c r="D10" s="320"/>
      <x:c r="E10" s="320"/>
      <x:c r="F10" s="320"/>
      <x:c r="G10" s="320"/>
      <x:c r="H10" s="320"/>
      <x:c r="I10" s="320"/>
      <x:c r="J10" s="321"/>
    </x:row>
    <x:row r="11">
      <x:c r="A11" s="319"/>
      <x:c r="B11" s="320"/>
      <x:c r="C11" s="320"/>
      <x:c r="D11" s="320"/>
      <x:c r="E11" s="320"/>
      <x:c r="F11" s="320"/>
      <x:c r="G11" s="320"/>
      <x:c r="H11" s="320"/>
      <x:c r="I11" s="320"/>
      <x:c r="J11" s="321"/>
    </x:row>
    <x:row r="12">
      <x:c r="A12" s="319"/>
      <x:c r="B12" s="320"/>
      <x:c r="C12" s="320"/>
      <x:c r="D12" s="320"/>
      <x:c r="E12" s="320"/>
      <x:c r="F12" s="320"/>
      <x:c r="G12" s="320"/>
      <x:c r="H12" s="320"/>
      <x:c r="I12" s="320"/>
      <x:c r="J12" s="321"/>
    </x:row>
    <x:row r="13">
      <x:c r="A13" s="319"/>
      <x:c r="B13" s="320"/>
      <x:c r="C13" s="320"/>
      <x:c r="D13" s="320"/>
      <x:c r="E13" s="320"/>
      <x:c r="F13" s="320"/>
      <x:c r="G13" s="320"/>
      <x:c r="H13" s="320"/>
      <x:c r="I13" s="320"/>
      <x:c r="J13" s="321"/>
    </x:row>
    <x:row r="14">
      <x:c r="A14" s="322"/>
      <x:c r="B14" s="323"/>
      <x:c r="C14" s="323"/>
      <x:c r="D14" s="323"/>
      <x:c r="E14" s="323"/>
      <x:c r="F14" s="323"/>
      <x:c r="G14" s="323"/>
      <x:c r="H14" s="323"/>
      <x:c r="I14" s="323"/>
      <x:c r="J14" s="324"/>
    </x:row>
  </x:sheetData>
  <x:mergeCells>
    <x:mergeCell ref="A9:J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15" hidden="0" customHeight="1">
      <x:c r="A1" s="91" t="str">
        <x:v>항목</x:v>
      </x:c>
      <x:c r="B1" s="93" t="str">
        <x:v>고정 내용</x:v>
      </x:c>
    </x:row>
    <x:row r="2" ht="15" hidden="0" customHeight="1">
      <x:c r="A2" s="353" t="str">
        <x:v>실험</x:v>
      </x:c>
      <x:c r="B2" s="365" t="str">
        <x:v>새 기준 15차 동일후보풀 그림자 결승전</x:v>
      </x:c>
    </x:row>
    <x:row r="3" ht="15" hidden="0" customHeight="1">
      <x:c r="A3" s="354" t="str">
        <x:v>입력 구간</x:v>
      </x:c>
      <x:c r="B3" s="366" t="str">
        <x:v>1181~1225</x:v>
      </x:c>
    </x:row>
    <x:row r="4" ht="15" hidden="0" customHeight="1">
      <x:c r="A4" s="354" t="str">
        <x:v>후보 풀</x:v>
      </x:c>
      <x:c r="B4" s="366" t="n">
        <x:v>35</x:v>
      </x:c>
    </x:row>
    <x:row r="5" ht="15" hidden="0" customHeight="1">
      <x:c r="A5" s="354" t="str">
        <x:v>비교 구간</x:v>
      </x:c>
      <x:c r="B5" s="366" t="str">
        <x:v>1234~1245</x:v>
      </x:c>
    </x:row>
    <x:row r="6" ht="15" hidden="0" customHeight="1">
      <x:c r="A6" s="354" t="str">
        <x:v>비용</x:v>
      </x:c>
      <x:c r="B6" s="366" t="str">
        <x:v>모델별 5세트</x:v>
      </x:c>
    </x:row>
    <x:row r="7" ht="15" hidden="0" customHeight="1">
      <x:c r="A7" s="354" t="str">
        <x:v>보너스 번호</x:v>
      </x:c>
      <x:c r="B7" s="366" t="str">
        <x:v>완전 제외</x:v>
      </x:c>
    </x:row>
    <x:row r="8" ht="15" hidden="0" customHeight="1">
      <x:c r="A8" s="354" t="str">
        <x:v>공식 모델</x:v>
      </x:c>
      <x:c r="B8" s="366" t="str">
        <x:v>순수 3수 분산 5세트 · 1245회까지 변경 없음</x:v>
      </x:c>
    </x:row>
    <x:row r="9" ht="15" hidden="0" customHeight="1">
      <x:c r="A9" s="354" t="str">
        <x:v>그림자 모델</x:v>
      </x:c>
      <x:c r="B9" s="366" t="str">
        <x:v>혼합 2T+3Q · 순수 4수 · 번호 다양성</x:v>
      </x:c>
    </x:row>
    <x:row r="10" ht="15" hidden="0" customHeight="1">
      <x:c r="A10" s="354" t="str">
        <x:v>대조군</x:v>
      </x:c>
      <x:c r="B10" s="366" t="str">
        <x:v>동일 후보 풀 고정 무작위 5세트</x:v>
      </x:c>
    </x:row>
    <x:row r="11" ht="15" hidden="0" customHeight="1">
      <x:c r="A11" s="354" t="str">
        <x:v>판정 순서</x:v>
      </x:c>
      <x:c r="B11" s="366" t="str">
        <x:v>최고 적중 등급 → 5개+ → 4개+ → 4개+ 고유회차 → 3개+</x:v>
      </x:c>
    </x:row>
    <x:row r="12" ht="15" hidden="0" customHeight="1">
      <x:c r="A12" s="354" t="str">
        <x:v>비교 제외</x:v>
      </x:c>
      <x:c r="B12" s="366" t="str">
        <x:v>1226~1233회 결과는 15차 결승전 점수에서 제외</x:v>
      </x:c>
    </x:row>
    <x:row r="13" ht="15" hidden="0" customHeight="1">
      <x:c r="A13" s="355" t="str">
        <x:v>등록 SHA-256</x:v>
      </x:c>
      <x:c r="B13" s="367" t="str">
        <x:v>39b25ddbbf0f9a2855898bf6027a6ba887688192152d6c53470a6d490108412f</x:v>
      </x:c>
    </x:row>
  </x:sheetData>
  <x:pageMargins left="0.7" right="0.7" top="0.75" bottom="0.75" header="0.3" footer="0.3"/>
</x:worksheet>
</file>