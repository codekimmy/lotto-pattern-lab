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aebef1799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운영 대시보드" sheetId="1" r:id="R62e23b4b835e4ee7"/>
    <x:sheet xmlns:r="http://schemas.openxmlformats.org/officeDocument/2006/relationships" name="공식 5세트" sheetId="2" r:id="R97fbef74a7b749e9"/>
    <x:sheet xmlns:r="http://schemas.openxmlformats.org/officeDocument/2006/relationships" name="자동 채점" sheetId="3" r:id="R0a70725b55dd470d"/>
    <x:sheet xmlns:r="http://schemas.openxmlformats.org/officeDocument/2006/relationships" name="무작위 기준" sheetId="4" r:id="R8b88f03671b0429b"/>
    <x:sheet xmlns:r="http://schemas.openxmlformats.org/officeDocument/2006/relationships" name="번호 노출" sheetId="5" r:id="R49e6c3c7fb654dbc"/>
    <x:sheet xmlns:r="http://schemas.openxmlformats.org/officeDocument/2006/relationships" name="봉인 규칙" sheetId="6" r:id="R7a07774028d8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000"/>
    <x:numFmt numFmtId="202" formatCode="0.0%"/>
    <x:numFmt numFmtId="203" formatCode="0.000%"/>
    <x:numFmt numFmtId="204" formatCode="0.00"/>
    <x:numFmt numFmtId="205" formatCode="0.0000%"/>
  </x:numFmts>
  <x:fonts count="12">
    <x:font>
      <x:sz val="11"/>
      <x:name val="Carlito"/>
    </x:font>
    <x:font>
      <x:b/>
      <x:sz val="18"/>
      <x:color rgb="FFF8FBFD"/>
      <x:name val="Carlito"/>
    </x:font>
    <x:font>
      <x:sz val="10"/>
      <x:color rgb="FF344A58"/>
      <x:name val="Carlito"/>
    </x:font>
    <x:font>
      <x:b/>
      <x:sz val="11"/>
      <x:color rgb="FFF8FBFD"/>
      <x:name val="Carlito"/>
    </x:font>
    <x:font>
      <x:b/>
      <x:sz val="17"/>
      <x:color rgb="FF0B1E2D"/>
      <x:name val="Carlito"/>
    </x:font>
    <x:font>
      <x:sz val="8"/>
      <x:color rgb="FF718795"/>
      <x:name val="Carlito"/>
    </x:font>
    <x:font>
      <x:b/>
      <x:sz val="14"/>
      <x:color rgb="FF805700"/>
      <x:name val="Carlito"/>
    </x:font>
    <x:font>
      <x:b/>
      <x:sz val="11"/>
      <x:color rgb="FF0B1E2D"/>
      <x:name val="Carlito"/>
    </x:font>
    <x:font>
      <x:sz val="11"/>
      <x:color rgb="FF344A58"/>
      <x:name val="Carlito"/>
    </x:font>
    <x:font>
      <x:b/>
      <x:sz val="12"/>
      <x:color rgb="FF24643C"/>
      <x:name val="Carlito"/>
    </x:font>
    <x:font>
      <x:b/>
      <x:sz val="11"/>
      <x:color rgb="FF805700"/>
      <x:name val="Carlito"/>
    </x:font>
    <x:font>
      <x:sz val="11"/>
      <x:color rgb="FF0B1E2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E2D"/>
      </x:patternFill>
    </x:fill>
    <x:fill>
      <x:patternFill patternType="solid">
        <x:fgColor rgb="FFF2F6F8"/>
      </x:patternFill>
    </x:fill>
    <x:fill>
      <x:patternFill patternType="solid">
        <x:fgColor rgb="FF236B78"/>
      </x:patternFill>
    </x:fill>
    <x:fill>
      <x:patternFill patternType="solid">
        <x:fgColor rgb="FFF8FBFD"/>
      </x:patternFill>
    </x:fill>
    <x:fill>
      <x:patternFill patternType="solid">
        <x:fgColor rgb="FFDFF3E7"/>
      </x:patternFill>
    </x:fill>
    <x:fill>
      <x:patternFill patternType="solid">
        <x:fgColor rgb="FFFFF1CF"/>
      </x:patternFill>
    </x:fill>
    <x:fill>
      <x:patternFill patternType="solid">
        <x:fgColor rgb="FFE6F1F8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4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200" fontId="0" fillId="0" borderId="17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22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1" fontId="0" fillId="0" borderId="14" xfId="0" applyNumberFormat="1" applyFont="1" applyFill="1" applyBorder="1" applyAlignment="1">
      <x:alignment horizontal="center"/>
    </x:xf>
    <x:xf numFmtId="201" fontId="0" fillId="0" borderId="17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201" fontId="0" fillId="0" borderId="22" xfId="0" applyNumberFormat="1" applyFont="1" applyFill="1" applyBorder="1" applyAlignment="1">
      <x:alignment horizontal="center"/>
    </x:xf>
    <x:xf numFmtId="202" fontId="0" fillId="0" borderId="9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202" fontId="0" fillId="0" borderId="14" xfId="0" applyNumberFormat="1" applyFont="1" applyFill="1" applyBorder="1" applyAlignment="1">
      <x:alignment horizontal="center"/>
    </x:xf>
    <x:xf numFmtId="202" fontId="0" fillId="0" borderId="17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202" fontId="0" fillId="0" borderId="22" xfId="0" applyNumberFormat="1" applyFont="1" applyFill="1" applyBorder="1" applyAlignment="1">
      <x:alignment horizontal="center"/>
    </x:xf>
    <x:xf numFmtId="203" fontId="0" fillId="0" borderId="10" xfId="0" applyNumberFormat="1" applyFont="1" applyFill="1" applyBorder="1" applyAlignment="1">
      <x:alignment horizontal="center"/>
    </x:xf>
    <x:xf numFmtId="203" fontId="0" fillId="0" borderId="12" xfId="0" applyNumberFormat="1" applyFont="1" applyFill="1" applyBorder="1" applyAlignment="1">
      <x:alignment horizontal="center"/>
    </x:xf>
    <x:xf numFmtId="203" fontId="0" fillId="0" borderId="15" xfId="0" applyNumberFormat="1" applyFont="1" applyFill="1" applyBorder="1" applyAlignment="1">
      <x:alignment horizontal="center"/>
    </x:xf>
    <x:xf numFmtId="203" fontId="0" fillId="0" borderId="18" xfId="0" applyNumberFormat="1" applyFont="1" applyFill="1" applyBorder="1" applyAlignment="1">
      <x:alignment horizontal="center"/>
    </x:xf>
    <x:xf numFmtId="203" fontId="0" fillId="0" borderId="20" xfId="0" applyNumberFormat="1" applyFont="1" applyFill="1" applyBorder="1" applyAlignment="1">
      <x:alignment horizontal="center"/>
    </x:xf>
    <x:xf numFmtId="203" fontId="0" fillId="0" borderId="23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8" xfId="0" applyNumberFormat="1" applyFont="1" applyFill="1" applyBorder="1"/>
    <x:xf numFmtId="0" fontId="7" fillId="3" borderId="10" xfId="0" applyNumberFormat="1" applyFont="1" applyFill="1" applyBorder="1"/>
    <x:xf numFmtId="0" fontId="7" fillId="3" borderId="11" xfId="0" applyNumberFormat="1" applyFont="1" applyFill="1" applyBorder="1"/>
    <x:xf numFmtId="0" fontId="7" fillId="3" borderId="12" xfId="0" applyNumberFormat="1" applyFont="1" applyFill="1" applyBorder="1"/>
    <x:xf numFmtId="0" fontId="7" fillId="3" borderId="13" xfId="0" applyNumberFormat="1" applyFont="1" applyFill="1" applyBorder="1"/>
    <x:xf numFmtId="0" fontId="7" fillId="3" borderId="15" xfId="0" applyNumberFormat="1" applyFont="1" applyFill="1" applyBorder="1"/>
    <x:xf numFmtId="0" fontId="7" fillId="3" borderId="1" xfId="0" applyNumberFormat="1" applyFont="1" applyFill="1" applyBorder="1"/>
    <x:xf numFmtId="0" fontId="7" fillId="3" borderId="16" xfId="0" applyNumberFormat="1" applyFont="1" applyFill="1" applyBorder="1"/>
    <x:xf numFmtId="0" fontId="7" fillId="3" borderId="18" xfId="0" applyNumberFormat="1" applyFont="1" applyFill="1" applyBorder="1"/>
    <x:xf numFmtId="0" fontId="7" fillId="3" borderId="19" xfId="0" applyNumberFormat="1" applyFont="1" applyFill="1" applyBorder="1"/>
    <x:xf numFmtId="0" fontId="7" fillId="3" borderId="20" xfId="0" applyNumberFormat="1" applyFont="1" applyFill="1" applyBorder="1"/>
    <x:xf numFmtId="0" fontId="7" fillId="3" borderId="21" xfId="0" applyNumberFormat="1" applyFont="1" applyFill="1" applyBorder="1"/>
    <x:xf numFmtId="0" fontId="7" fillId="3" borderId="23" xfId="0" applyNumberFormat="1" applyFont="1" applyFill="1" applyBorder="1"/>
    <x:xf numFmtId="0" fontId="8" fillId="5" borderId="0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13" xfId="0" applyNumberFormat="1" applyFont="1" applyFill="1" applyBorder="1"/>
    <x:xf numFmtId="0" fontId="8" fillId="5" borderId="14" xfId="0" applyNumberFormat="1" applyFont="1" applyFill="1" applyBorder="1"/>
    <x:xf numFmtId="0" fontId="8" fillId="5" borderId="15" xfId="0" applyNumberFormat="1" applyFont="1" applyFill="1" applyBorder="1"/>
    <x:xf numFmtId="0" fontId="8" fillId="5" borderId="8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wrapText="1"/>
    </x:xf>
    <x:xf numFmtId="0" fontId="8" fillId="5" borderId="10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wrapText="1"/>
    </x:xf>
    <x:xf numFmtId="0" fontId="8" fillId="5" borderId="13" xfId="0" applyNumberFormat="1" applyFont="1" applyFill="1" applyBorder="1" applyAlignment="1">
      <x:alignment wrapText="1"/>
    </x:xf>
    <x:xf numFmtId="0" fontId="8" fillId="5" borderId="14" xfId="0" applyNumberFormat="1" applyFont="1" applyFill="1" applyBorder="1" applyAlignment="1">
      <x:alignment wrapText="1"/>
    </x:xf>
    <x:xf numFmtId="0" fontId="8" fillId="5" borderId="15" xfId="0" applyNumberFormat="1" applyFont="1" applyFill="1" applyBorder="1" applyAlignment="1">
      <x:alignment wrapText="1"/>
    </x:xf>
    <x:xf numFmtId="0" fontId="8" fillId="5" borderId="1" xfId="0" applyNumberFormat="1" applyFont="1" applyFill="1" applyBorder="1"/>
    <x:xf numFmtId="0" fontId="8" fillId="5" borderId="16" xfId="0" applyNumberFormat="1" applyFont="1" applyFill="1" applyBorder="1"/>
    <x:xf numFmtId="0" fontId="8" fillId="5" borderId="17" xfId="0" applyNumberFormat="1" applyFont="1" applyFill="1" applyBorder="1"/>
    <x:xf numFmtId="0" fontId="8" fillId="5" borderId="18" xfId="0" applyNumberFormat="1" applyFont="1" applyFill="1" applyBorder="1"/>
    <x:xf numFmtId="0" fontId="8" fillId="5" borderId="19" xfId="0" applyNumberFormat="1" applyFont="1" applyFill="1" applyBorder="1"/>
    <x:xf numFmtId="0" fontId="8" fillId="5" borderId="20" xfId="0" applyNumberFormat="1" applyFont="1" applyFill="1" applyBorder="1"/>
    <x:xf numFmtId="0" fontId="8" fillId="5" borderId="21" xfId="0" applyNumberFormat="1" applyFont="1" applyFill="1" applyBorder="1"/>
    <x:xf numFmtId="0" fontId="8" fillId="5" borderId="22" xfId="0" applyNumberFormat="1" applyFont="1" applyFill="1" applyBorder="1"/>
    <x:xf numFmtId="0" fontId="8" fillId="5" borderId="23" xfId="0" applyNumberFormat="1" applyFont="1" applyFill="1" applyBorder="1"/>
    <x:xf numFmtId="0" fontId="8" fillId="5" borderId="16" xfId="0" applyNumberFormat="1" applyFont="1" applyFill="1" applyBorder="1" applyAlignment="1">
      <x:alignment wrapText="1"/>
    </x:xf>
    <x:xf numFmtId="0" fontId="8" fillId="5" borderId="17" xfId="0" applyNumberFormat="1" applyFont="1" applyFill="1" applyBorder="1" applyAlignment="1">
      <x:alignment wrapText="1"/>
    </x:xf>
    <x:xf numFmtId="0" fontId="8" fillId="5" borderId="18" xfId="0" applyNumberFormat="1" applyFont="1" applyFill="1" applyBorder="1" applyAlignment="1">
      <x:alignment wrapText="1"/>
    </x:xf>
    <x:xf numFmtId="0" fontId="8" fillId="5" borderId="19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8" fillId="5" borderId="20" xfId="0" applyNumberFormat="1" applyFont="1" applyFill="1" applyBorder="1" applyAlignment="1">
      <x:alignment wrapText="1"/>
    </x:xf>
    <x:xf numFmtId="0" fontId="8" fillId="5" borderId="21" xfId="0" applyNumberFormat="1" applyFont="1" applyFill="1" applyBorder="1" applyAlignment="1">
      <x:alignment wrapText="1"/>
    </x:xf>
    <x:xf numFmtId="0" fontId="8" fillId="5" borderId="22" xfId="0" applyNumberFormat="1" applyFont="1" applyFill="1" applyBorder="1" applyAlignment="1">
      <x:alignment wrapText="1"/>
    </x:xf>
    <x:xf numFmtId="0" fontId="8" fillId="5" borderId="2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2" xfId="0" applyNumberFormat="1" applyFont="1" applyFill="1" applyBorder="1"/>
    <x:xf numFmtId="0" fontId="9" fillId="6" borderId="3" xfId="0" applyNumberFormat="1" applyFont="1" applyFill="1" applyBorder="1"/>
    <x:xf numFmtId="0" fontId="9" fillId="6" borderId="4" xfId="0" applyNumberFormat="1" applyFont="1" applyFill="1" applyBorder="1"/>
    <x:xf numFmtId="0" fontId="9" fillId="6" borderId="2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/>
    </x:xf>
    <x:xf numFmtId="0" fontId="9" fillId="6" borderId="4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9" fillId="6" borderId="5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5" xfId="0" applyNumberFormat="1" applyFont="1" applyFill="1" applyBorder="1" applyAlignment="1">
      <x:alignment horizontal="center"/>
    </x:xf>
    <x:xf numFmtId="0" fontId="9" fillId="6" borderId="6" xfId="0" applyNumberFormat="1" applyFont="1" applyFill="1" applyBorder="1" applyAlignment="1">
      <x:alignment horizontal="center"/>
    </x:xf>
    <x:xf numFmtId="0" fontId="9" fillId="6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4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4" fontId="0" fillId="0" borderId="22" xfId="0" applyNumberFormat="1" applyFont="1" applyFill="1" applyBorder="1" applyAlignment="1">
      <x:alignment vertical="center"/>
    </x:xf>
    <x:xf numFmtId="205" fontId="0" fillId="0" borderId="9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 applyAlignment="1">
      <x:alignment horizontal="center"/>
    </x:xf>
    <x:xf numFmtId="205" fontId="0" fillId="0" borderId="14" xfId="0" applyNumberFormat="1" applyFont="1" applyFill="1" applyBorder="1" applyAlignment="1">
      <x:alignment horizontal="center"/>
    </x:xf>
    <x:xf numFmtId="205" fontId="0" fillId="0" borderId="17" xfId="0" applyNumberFormat="1" applyFont="1" applyFill="1" applyBorder="1" applyAlignment="1">
      <x:alignment horizontal="center"/>
    </x:xf>
    <x:xf numFmtId="205" fontId="0" fillId="0" borderId="1" xfId="0" applyNumberFormat="1" applyFont="1" applyFill="1" applyBorder="1" applyAlignment="1">
      <x:alignment horizontal="center"/>
    </x:xf>
    <x:xf numFmtId="205" fontId="0" fillId="0" borderId="22" xfId="0" applyNumberFormat="1" applyFont="1" applyFill="1" applyBorder="1" applyAlignment="1">
      <x:alignment horizontal="center"/>
    </x:xf>
    <x:xf numFmtId="203" fontId="0" fillId="0" borderId="9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horizontal="center"/>
    </x:xf>
    <x:xf numFmtId="203" fontId="0" fillId="0" borderId="14" xfId="0" applyNumberFormat="1" applyFont="1" applyFill="1" applyBorder="1" applyAlignment="1">
      <x:alignment horizontal="center"/>
    </x:xf>
    <x:xf numFmtId="203" fontId="0" fillId="0" borderId="17" xfId="0" applyNumberFormat="1" applyFont="1" applyFill="1" applyBorder="1" applyAlignment="1">
      <x:alignment horizontal="center"/>
    </x:xf>
    <x:xf numFmtId="203" fontId="0" fillId="0" borderId="1" xfId="0" applyNumberFormat="1" applyFont="1" applyFill="1" applyBorder="1" applyAlignment="1">
      <x:alignment horizontal="center"/>
    </x:xf>
    <x:xf numFmtId="203" fontId="0" fillId="0" borderId="22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8" xfId="0" applyNumberFormat="1" applyFont="1" applyFill="1" applyBorder="1"/>
    <x:xf numFmtId="0" fontId="10" fillId="7" borderId="9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8" xfId="0" applyNumberFormat="1" applyFont="1" applyFill="1" applyBorder="1" applyAlignment="1">
      <x:alignment wrapText="1"/>
    </x:xf>
    <x:xf numFmtId="0" fontId="10" fillId="7" borderId="9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8" xfId="0" applyNumberFormat="1" applyFont="1" applyFill="1" applyBorder="1" applyAlignment="1">
      <x:alignment vertical="center" wrapText="1"/>
    </x:xf>
    <x:xf numFmtId="0" fontId="10" fillId="7" borderId="9" xfId="0" applyNumberFormat="1" applyFont="1" applyFill="1" applyBorder="1" applyAlignment="1">
      <x:alignment vertical="center" wrapText="1"/>
    </x:xf>
    <x:xf numFmtId="0" fontId="10" fillId="7" borderId="10" xfId="0" applyNumberFormat="1" applyFont="1" applyFill="1" applyBorder="1" applyAlignment="1">
      <x:alignment vertical="center" wrapText="1"/>
    </x:xf>
    <x:xf numFmtId="0" fontId="10" fillId="7" borderId="11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12" xfId="0" applyNumberFormat="1" applyFont="1" applyFill="1" applyBorder="1" applyAlignment="1">
      <x:alignment vertical="center" wrapText="1"/>
    </x:xf>
    <x:xf numFmtId="0" fontId="10" fillId="7" borderId="13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10" fillId="7" borderId="1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8" xfId="0" applyNumberFormat="1" applyFont="1" applyFill="1" applyBorder="1"/>
    <x:xf numFmtId="0" fontId="10" fillId="7" borderId="19" xfId="0" applyNumberFormat="1" applyFont="1" applyFill="1" applyBorder="1"/>
    <x:xf numFmtId="0" fontId="10" fillId="7" borderId="20" xfId="0" applyNumberFormat="1" applyFont="1" applyFill="1" applyBorder="1"/>
    <x:xf numFmtId="0" fontId="10" fillId="7" borderId="21" xfId="0" applyNumberFormat="1" applyFont="1" applyFill="1" applyBorder="1"/>
    <x:xf numFmtId="0" fontId="10" fillId="7" borderId="22" xfId="0" applyNumberFormat="1" applyFont="1" applyFill="1" applyBorder="1"/>
    <x:xf numFmtId="0" fontId="10" fillId="7" borderId="23" xfId="0" applyNumberFormat="1" applyFont="1" applyFill="1" applyBorder="1"/>
    <x:xf numFmtId="0" fontId="10" fillId="7" borderId="16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8" xfId="0" applyNumberFormat="1" applyFont="1" applyFill="1" applyBorder="1" applyAlignment="1">
      <x:alignment wrapText="1"/>
    </x:xf>
    <x:xf numFmtId="0" fontId="10" fillId="7" borderId="19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wrapText="1"/>
    </x:xf>
    <x:xf numFmtId="0" fontId="10" fillId="7" borderId="20" xfId="0" applyNumberFormat="1" applyFont="1" applyFill="1" applyBorder="1" applyAlignment="1">
      <x:alignment wrapText="1"/>
    </x:xf>
    <x:xf numFmtId="0" fontId="10" fillId="7" borderId="21" xfId="0" applyNumberFormat="1" applyFont="1" applyFill="1" applyBorder="1" applyAlignment="1">
      <x:alignment wrapText="1"/>
    </x:xf>
    <x:xf numFmtId="0" fontId="10" fillId="7" borderId="22" xfId="0" applyNumberFormat="1" applyFont="1" applyFill="1" applyBorder="1" applyAlignment="1">
      <x:alignment wrapText="1"/>
    </x:xf>
    <x:xf numFmtId="0" fontId="10" fillId="7" borderId="23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vertical="center" wrapText="1"/>
    </x:xf>
    <x:xf numFmtId="0" fontId="10" fillId="7" borderId="17" xfId="0" applyNumberFormat="1" applyFont="1" applyFill="1" applyBorder="1" applyAlignment="1">
      <x:alignment vertical="center" wrapText="1"/>
    </x:xf>
    <x:xf numFmtId="0" fontId="10" fillId="7" borderId="18" xfId="0" applyNumberFormat="1" applyFont="1" applyFill="1" applyBorder="1" applyAlignment="1">
      <x:alignment vertical="center" wrapText="1"/>
    </x:xf>
    <x:xf numFmtId="0" fontId="10" fillId="7" borderId="19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10" fillId="7" borderId="20" xfId="0" applyNumberFormat="1" applyFont="1" applyFill="1" applyBorder="1" applyAlignment="1">
      <x:alignment vertical="center" wrapText="1"/>
    </x:xf>
    <x:xf numFmtId="0" fontId="10" fillId="7" borderId="21" xfId="0" applyNumberFormat="1" applyFont="1" applyFill="1" applyBorder="1" applyAlignment="1">
      <x:alignment vertical="center" wrapText="1"/>
    </x:xf>
    <x:xf numFmtId="0" fontId="10" fillId="7" borderId="22" xfId="0" applyNumberFormat="1" applyFont="1" applyFill="1" applyBorder="1" applyAlignment="1">
      <x:alignment vertical="center" wrapText="1"/>
    </x:xf>
    <x:xf numFmtId="0" fontId="10" fillId="7" borderId="23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horizontal="center"/>
    </x:xf>
    <x:xf numFmtId="204" fontId="0" fillId="0" borderId="14" xfId="0" applyNumberFormat="1" applyFont="1" applyFill="1" applyBorder="1" applyAlignment="1">
      <x:alignment horizontal="center"/>
    </x:xf>
    <x:xf numFmtId="204" fontId="0" fillId="0" borderId="1" xfId="0" applyNumberFormat="1" applyFont="1" applyFill="1" applyBorder="1" applyAlignment="1">
      <x:alignment horizontal="center"/>
    </x:xf>
    <x:xf numFmtId="204" fontId="0" fillId="0" borderId="22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8" xfId="0" applyNumberFormat="1" applyFont="1" applyFill="1" applyBorder="1"/>
    <x:xf numFmtId="0" fontId="11" fillId="8" borderId="9" xfId="0" applyNumberFormat="1" applyFont="1" applyFill="1" applyBorder="1"/>
    <x:xf numFmtId="0" fontId="11" fillId="8" borderId="10" xfId="0" applyNumberFormat="1" applyFont="1" applyFill="1" applyBorder="1"/>
    <x:xf numFmtId="0" fontId="11" fillId="8" borderId="11" xfId="0" applyNumberFormat="1" applyFont="1" applyFill="1" applyBorder="1"/>
    <x:xf numFmtId="0" fontId="11" fillId="8" borderId="12" xfId="0" applyNumberFormat="1" applyFont="1" applyFill="1" applyBorder="1"/>
    <x:xf numFmtId="0" fontId="11" fillId="8" borderId="13" xfId="0" applyNumberFormat="1" applyFont="1" applyFill="1" applyBorder="1"/>
    <x:xf numFmtId="0" fontId="11" fillId="8" borderId="14" xfId="0" applyNumberFormat="1" applyFont="1" applyFill="1" applyBorder="1"/>
    <x:xf numFmtId="0" fontId="11" fillId="8" borderId="15" xfId="0" applyNumberFormat="1" applyFont="1" applyFill="1" applyBorder="1"/>
    <x:xf numFmtId="0" fontId="11" fillId="8" borderId="8" xfId="0" applyNumberFormat="1" applyFont="1" applyFill="1" applyBorder="1" applyAlignment="1">
      <x:alignment wrapText="1"/>
    </x:xf>
    <x:xf numFmtId="0" fontId="11" fillId="8" borderId="9" xfId="0" applyNumberFormat="1" applyFont="1" applyFill="1" applyBorder="1" applyAlignment="1">
      <x:alignment wrapText="1"/>
    </x:xf>
    <x:xf numFmtId="0" fontId="11" fillId="8" borderId="10" xfId="0" applyNumberFormat="1" applyFont="1" applyFill="1" applyBorder="1" applyAlignment="1">
      <x:alignment wrapText="1"/>
    </x:xf>
    <x:xf numFmtId="0" fontId="11" fillId="8" borderId="11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11" fillId="8" borderId="12" xfId="0" applyNumberFormat="1" applyFont="1" applyFill="1" applyBorder="1" applyAlignment="1">
      <x:alignment wrapText="1"/>
    </x:xf>
    <x:xf numFmtId="0" fontId="11" fillId="8" borderId="13" xfId="0" applyNumberFormat="1" applyFont="1" applyFill="1" applyBorder="1" applyAlignment="1">
      <x:alignment wrapText="1"/>
    </x:xf>
    <x:xf numFmtId="0" fontId="11" fillId="8" borderId="14" xfId="0" applyNumberFormat="1" applyFont="1" applyFill="1" applyBorder="1" applyAlignment="1">
      <x:alignment wrapText="1"/>
    </x:xf>
    <x:xf numFmtId="0" fontId="11" fillId="8" borderId="15" xfId="0" applyNumberFormat="1" applyFont="1" applyFill="1" applyBorder="1" applyAlignment="1">
      <x:alignment wrapText="1"/>
    </x:xf>
    <x:xf numFmtId="0" fontId="11" fillId="8" borderId="8" xfId="0" applyNumberFormat="1" applyFont="1" applyFill="1" applyBorder="1" applyAlignment="1">
      <x:alignment vertical="center" wrapText="1"/>
    </x:xf>
    <x:xf numFmtId="0" fontId="11" fillId="8" borderId="9" xfId="0" applyNumberFormat="1" applyFont="1" applyFill="1" applyBorder="1" applyAlignment="1">
      <x:alignment vertical="center" wrapText="1"/>
    </x:xf>
    <x:xf numFmtId="0" fontId="11" fillId="8" borderId="10" xfId="0" applyNumberFormat="1" applyFont="1" applyFill="1" applyBorder="1" applyAlignment="1">
      <x:alignment vertical="center" wrapText="1"/>
    </x:xf>
    <x:xf numFmtId="0" fontId="11" fillId="8" borderId="11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12" xfId="0" applyNumberFormat="1" applyFont="1" applyFill="1" applyBorder="1" applyAlignment="1">
      <x:alignment vertical="center" wrapText="1"/>
    </x:xf>
    <x:xf numFmtId="0" fontId="11" fillId="8" borderId="13" xfId="0" applyNumberFormat="1" applyFont="1" applyFill="1" applyBorder="1" applyAlignment="1">
      <x:alignment vertical="center" wrapText="1"/>
    </x:xf>
    <x:xf numFmtId="0" fontId="11" fillId="8" borderId="14" xfId="0" applyNumberFormat="1" applyFont="1" applyFill="1" applyBorder="1" applyAlignment="1">
      <x:alignment vertical="center" wrapText="1"/>
    </x:xf>
    <x:xf numFmtId="0" fontId="11" fillId="8" borderId="15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11" fillId="8" borderId="1" xfId="0" applyNumberFormat="1" applyFont="1" applyFill="1" applyBorder="1"/>
    <x:xf numFmtId="0" fontId="11" fillId="8" borderId="16" xfId="0" applyNumberFormat="1" applyFont="1" applyFill="1" applyBorder="1"/>
    <x:xf numFmtId="0" fontId="11" fillId="8" borderId="17" xfId="0" applyNumberFormat="1" applyFont="1" applyFill="1" applyBorder="1"/>
    <x:xf numFmtId="0" fontId="11" fillId="8" borderId="18" xfId="0" applyNumberFormat="1" applyFont="1" applyFill="1" applyBorder="1"/>
    <x:xf numFmtId="0" fontId="11" fillId="8" borderId="19" xfId="0" applyNumberFormat="1" applyFont="1" applyFill="1" applyBorder="1"/>
    <x:xf numFmtId="0" fontId="11" fillId="8" borderId="20" xfId="0" applyNumberFormat="1" applyFont="1" applyFill="1" applyBorder="1"/>
    <x:xf numFmtId="0" fontId="11" fillId="8" borderId="21" xfId="0" applyNumberFormat="1" applyFont="1" applyFill="1" applyBorder="1"/>
    <x:xf numFmtId="0" fontId="11" fillId="8" borderId="22" xfId="0" applyNumberFormat="1" applyFont="1" applyFill="1" applyBorder="1"/>
    <x:xf numFmtId="0" fontId="11" fillId="8" borderId="23" xfId="0" applyNumberFormat="1" applyFont="1" applyFill="1" applyBorder="1"/>
    <x:xf numFmtId="0" fontId="11" fillId="8" borderId="16" xfId="0" applyNumberFormat="1" applyFont="1" applyFill="1" applyBorder="1" applyAlignment="1">
      <x:alignment wrapText="1"/>
    </x:xf>
    <x:xf numFmtId="0" fontId="11" fillId="8" borderId="17" xfId="0" applyNumberFormat="1" applyFont="1" applyFill="1" applyBorder="1" applyAlignment="1">
      <x:alignment wrapText="1"/>
    </x:xf>
    <x:xf numFmtId="0" fontId="11" fillId="8" borderId="18" xfId="0" applyNumberFormat="1" applyFont="1" applyFill="1" applyBorder="1" applyAlignment="1">
      <x:alignment wrapText="1"/>
    </x:xf>
    <x:xf numFmtId="0" fontId="11" fillId="8" borderId="19" xfId="0" applyNumberFormat="1" applyFont="1" applyFill="1" applyBorder="1" applyAlignment="1">
      <x:alignment wrapText="1"/>
    </x:xf>
    <x:xf numFmtId="0" fontId="11" fillId="8" borderId="1" xfId="0" applyNumberFormat="1" applyFont="1" applyFill="1" applyBorder="1" applyAlignment="1">
      <x:alignment wrapText="1"/>
    </x:xf>
    <x:xf numFmtId="0" fontId="11" fillId="8" borderId="20" xfId="0" applyNumberFormat="1" applyFont="1" applyFill="1" applyBorder="1" applyAlignment="1">
      <x:alignment wrapText="1"/>
    </x:xf>
    <x:xf numFmtId="0" fontId="11" fillId="8" borderId="21" xfId="0" applyNumberFormat="1" applyFont="1" applyFill="1" applyBorder="1" applyAlignment="1">
      <x:alignment wrapText="1"/>
    </x:xf>
    <x:xf numFmtId="0" fontId="11" fillId="8" borderId="22" xfId="0" applyNumberFormat="1" applyFont="1" applyFill="1" applyBorder="1" applyAlignment="1">
      <x:alignment wrapText="1"/>
    </x:xf>
    <x:xf numFmtId="0" fontId="11" fillId="8" borderId="23" xfId="0" applyNumberFormat="1" applyFont="1" applyFill="1" applyBorder="1" applyAlignment="1">
      <x:alignment wrapText="1"/>
    </x:xf>
    <x:xf numFmtId="0" fontId="11" fillId="8" borderId="16" xfId="0" applyNumberFormat="1" applyFont="1" applyFill="1" applyBorder="1" applyAlignment="1">
      <x:alignment vertical="center" wrapText="1"/>
    </x:xf>
    <x:xf numFmtId="0" fontId="11" fillId="8" borderId="17" xfId="0" applyNumberFormat="1" applyFont="1" applyFill="1" applyBorder="1" applyAlignment="1">
      <x:alignment vertical="center" wrapText="1"/>
    </x:xf>
    <x:xf numFmtId="0" fontId="11" fillId="8" borderId="18" xfId="0" applyNumberFormat="1" applyFont="1" applyFill="1" applyBorder="1" applyAlignment="1">
      <x:alignment vertical="center" wrapText="1"/>
    </x:xf>
    <x:xf numFmtId="0" fontId="11" fillId="8" borderId="19" xfId="0" applyNumberFormat="1" applyFont="1" applyFill="1" applyBorder="1" applyAlignment="1">
      <x:alignment vertical="center" wrapText="1"/>
    </x:xf>
    <x:xf numFmtId="0" fontId="11" fillId="8" borderId="1" xfId="0" applyNumberFormat="1" applyFont="1" applyFill="1" applyBorder="1" applyAlignment="1">
      <x:alignment vertical="center" wrapText="1"/>
    </x:xf>
    <x:xf numFmtId="0" fontId="11" fillId="8" borderId="20" xfId="0" applyNumberFormat="1" applyFont="1" applyFill="1" applyBorder="1" applyAlignment="1">
      <x:alignment vertical="center" wrapText="1"/>
    </x:xf>
    <x:xf numFmtId="0" fontId="11" fillId="8" borderId="21" xfId="0" applyNumberFormat="1" applyFont="1" applyFill="1" applyBorder="1" applyAlignment="1">
      <x:alignment vertical="center" wrapText="1"/>
    </x:xf>
    <x:xf numFmtId="0" fontId="11" fillId="8" borderId="22" xfId="0" applyNumberFormat="1" applyFont="1" applyFill="1" applyBorder="1" applyAlignment="1">
      <x:alignment vertical="center" wrapText="1"/>
    </x:xf>
    <x:xf numFmtId="0" fontId="11" fillId="8" borderId="23" xfId="0" applyNumberFormat="1" applyFont="1" applyFill="1" applyBorder="1" applyAlignment="1">
      <x:alignment vertical="center" wrapText="1"/>
    </x:xf>
    <x:xf numFmtId="0" fontId="7" fillId="3" borderId="24" xfId="0" applyNumberFormat="1" applyFont="1" applyFill="1" applyBorder="1"/>
    <x:xf numFmtId="0" fontId="7" fillId="3" borderId="25" xfId="0" applyNumberFormat="1" applyFont="1" applyFill="1" applyBorder="1"/>
    <x:xf numFmtId="0" fontId="7" fillId="3" borderId="26" xfId="0" applyNumberFormat="1" applyFont="1" applyFill="1" applyBorder="1"/>
    <x:xf numFmtId="0" fontId="7" fillId="3" borderId="27" xfId="0" applyNumberFormat="1" applyFont="1" applyFill="1" applyBorder="1"/>
    <x:xf numFmtId="0" fontId="7" fillId="3" borderId="28" xfId="0" applyNumberFormat="1" applyFont="1" applyFill="1" applyBorder="1"/>
    <x:xf numFmtId="0" fontId="7" fillId="3" borderId="2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0B1E2D"/>
      </x:font>
      <x:fill>
        <x:patternFill patternType="solid">
          <x:bgColor rgb="FFE6F1F8"/>
        </x:patternFill>
      </x:fill>
    </x:dxf>
    <x:dxf>
      <x:font>
        <x:color rgb="FF718795"/>
      </x:font>
      <x:fill>
        <x:patternFill patternType="solid">
          <x:bgColor rgb="FFF2F6F8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805700"/>
      </x:font>
      <x:fill>
        <x:patternFill patternType="solid">
          <x:bgColor rgb="FFFFF1CF"/>
        </x:patternFill>
      </x:fill>
    </x:dxf>
    <x:dxf>
      <x:font>
        <x:b/>
        <x:color rgb="FF805700"/>
      </x:font>
      <x:fill>
        <x:patternFill patternType="solid">
          <x:bgColor rgb="FFFFF1CF"/>
        </x:patternFill>
      </x:fill>
    </x:dxf>
    <x:dxf>
      <x:font>
        <x:color rgb="FF718795"/>
      </x:font>
      <x:fill>
        <x:patternFill patternType="solid">
          <x:bgColor rgb="FFF2F6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4dcc3ba164861" /><Relationship Type="http://schemas.openxmlformats.org/officeDocument/2006/relationships/theme" Target="/xl/theme/theme1.xml" Id="R3b8078f2c28b4040" /><Relationship Type="http://schemas.openxmlformats.org/officeDocument/2006/relationships/sharedStrings" Target="/xl/sharedStrings.xml" Id="Re992108892214ff5" /><Relationship Type="http://schemas.openxmlformats.org/officeDocument/2006/relationships/worksheet" Target="/xl/worksheets/sheet1.xml" Id="R62e23b4b835e4ee7" /><Relationship Type="http://schemas.openxmlformats.org/officeDocument/2006/relationships/worksheet" Target="/xl/worksheets/sheet2.xml" Id="R97fbef74a7b749e9" /><Relationship Type="http://schemas.openxmlformats.org/officeDocument/2006/relationships/worksheet" Target="/xl/worksheets/sheet3.xml" Id="R0a70725b55dd470d" /><Relationship Type="http://schemas.openxmlformats.org/officeDocument/2006/relationships/worksheet" Target="/xl/worksheets/sheet4.xml" Id="R8b88f03671b0429b" /><Relationship Type="http://schemas.openxmlformats.org/officeDocument/2006/relationships/worksheet" Target="/xl/worksheets/sheet5.xml" Id="R49e6c3c7fb654dbc" /><Relationship Type="http://schemas.openxmlformats.org/officeDocument/2006/relationships/worksheet" Target="/xl/worksheets/sheet6.xml" Id="R7a07774028d84a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06f1329705430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47c8d0f828243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공식 5세트의 무작위 4개+ 기준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4개+ 기대</c:v>
          </c:tx>
          <c:cat>
            <c:strRef>
              <c:f>'운영 대시보드'!$A$26:$A$28</c:f>
              <c:strCache>
                <c:ptCount val="0"/>
              </c:strCache>
            </c:strRef>
          </c:cat>
          <c:val>
            <c:numRef>
              <c:f>'운영 대시보드'!$B$26:$B$28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4개+ 1회 이상</c:v>
          </c:tx>
          <c:cat>
            <c:strRef>
              <c:f>'운영 대시보드'!$A$26:$A$28</c:f>
              <c:strCache>
                <c:ptCount val="0"/>
              </c:strCache>
            </c:strRef>
          </c:cat>
          <c:val>
            <c:numRef>
              <c:f>'운영 대시보드'!$C$26:$C$28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1~45 번호별 공식 세트 노출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노출 세트 수</c:v>
          </c:tx>
          <c:cat>
            <c:strRef>
              <c:f>'번호 노출'!$A$2:$A$46</c:f>
              <c:strCache>
                <c:ptCount val="0"/>
              </c:strCache>
            </c:strRef>
          </c:cat>
          <c:val>
            <c:numRef>
              <c:f>'번호 노출'!$B$2:$B$46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24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06f1329705430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16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7c8d0f8282430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9a561e886640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fb85c083b7ff4aa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16" hidden="0" customWidth="1"/>
    <x:col min="9" max="9" width="16" hidden="0" customWidth="1"/>
    <x:col min="11" max="11" width="16" hidden="0" customWidth="1"/>
    <x:col min="12" max="12" width="16" hidden="0" customWidth="1"/>
  </x:cols>
  <x:sheetData>
    <x:row r="1" ht="34" customHeight="1">
      <x:c r="A1" s="5" t="str">
        <x:v>새 기준 14차 · 1234회 실전 운영판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50" customHeight="1">
      <x:c r="A2" s="15" t="str">
        <x:v>1225회 종료 가동 창에서 봉인한 순수 3수 분산 5세트는 1226~1245회까지 유효합니다. 1230회 종료 창의 휴식 판정은 새 포트폴리오를 추가하지 않는다는 뜻이며, 기존 공식 5세트의 수명은 취소하지 않습니다.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7"/>
    </x:row>
    <x:row r="4">
      <x:c r="A4" s="34" t="str">
        <x:v>현재 목표</x:v>
      </x:c>
      <x:c r="B4" s="35"/>
      <x:c r="C4" s="36"/>
      <x:c r="D4" s="34" t="str">
        <x:v>공식 창</x:v>
      </x:c>
      <x:c r="E4" s="35"/>
      <x:c r="F4" s="36"/>
      <x:c r="G4" s="34" t="str">
        <x:v>경과</x:v>
      </x:c>
      <x:c r="H4" s="35"/>
      <x:c r="I4" s="36"/>
      <x:c r="J4" s="34" t="str">
        <x:v>현재 3개+</x:v>
      </x:c>
      <x:c r="K4" s="35"/>
      <x:c r="L4" s="36"/>
    </x:row>
    <x:row r="5">
      <x:c r="A5" s="56" t="str">
        <x:v>1234회</x:v>
      </x:c>
      <x:c r="B5" s="57"/>
      <x:c r="C5" s="58"/>
      <x:c r="D5" s="56" t="str">
        <x:v>1181~1225</x:v>
      </x:c>
      <x:c r="E5" s="57"/>
      <x:c r="F5" s="58"/>
      <x:c r="G5" s="56" t="str">
        <x:v>8/20</x:v>
      </x:c>
      <x:c r="H5" s="57"/>
      <x:c r="I5" s="58"/>
      <x:c r="J5" s="56" t="n">
        <x:v>1</x:v>
      </x:c>
      <x:c r="K5" s="57"/>
      <x:c r="L5" s="58"/>
    </x:row>
    <x:row r="6">
      <x:c r="A6" s="74" t="str">
        <x:v>공식 5세트 그대로</x:v>
      </x:c>
      <x:c r="B6" s="75"/>
      <x:c r="C6" s="76"/>
      <x:c r="D6" s="74" t="str">
        <x:v>추적 1226~1245</x:v>
      </x:c>
      <x:c r="E6" s="75"/>
      <x:c r="F6" s="76"/>
      <x:c r="G6" s="74" t="str">
        <x:v>남은 12회</x:v>
      </x:c>
      <x:c r="H6" s="75"/>
      <x:c r="I6" s="76"/>
      <x:c r="J6" s="74" t="str">
        <x:v>무작위 기대 0.95</x:v>
      </x:c>
      <x:c r="K6" s="75"/>
      <x:c r="L6" s="76"/>
    </x:row>
    <x:row r="7">
      <x:c r="A7" s="34" t="str">
        <x:v>현재 4개+</x:v>
      </x:c>
      <x:c r="B7" s="35"/>
      <x:c r="C7" s="36"/>
      <x:c r="D7" s="34" t="str">
        <x:v>번호 커버</x:v>
      </x:c>
      <x:c r="E7" s="35"/>
      <x:c r="F7" s="36"/>
      <x:c r="G7" s="34" t="str">
        <x:v>최대 집중</x:v>
      </x:c>
      <x:c r="H7" s="35"/>
      <x:c r="I7" s="36"/>
      <x:c r="J7" s="34" t="str">
        <x:v>현재 판정</x:v>
      </x:c>
      <x:c r="K7" s="35"/>
      <x:c r="L7" s="36"/>
    </x:row>
    <x:row r="8">
      <x:c r="A8" s="56" t="n">
        <x:v>0</x:v>
      </x:c>
      <x:c r="B8" s="57"/>
      <x:c r="C8" s="58"/>
      <x:c r="D8" s="56" t="str">
        <x:v>28/45</x:v>
      </x:c>
      <x:c r="E8" s="57"/>
      <x:c r="F8" s="58"/>
      <x:c r="G8" s="56" t="str">
        <x:v>20번 · 3세트</x:v>
      </x:c>
      <x:c r="H8" s="57"/>
      <x:c r="I8" s="58"/>
      <x:c r="J8" s="91" t="str">
        <x:v>중립 · 계속 추적</x:v>
      </x:c>
      <x:c r="K8" s="92"/>
      <x:c r="L8" s="93"/>
    </x:row>
    <x:row r="9">
      <x:c r="A9" s="74" t="str">
        <x:v>무작위 기대 0.056</x:v>
      </x:c>
      <x:c r="B9" s="75"/>
      <x:c r="C9" s="76"/>
      <x:c r="D9" s="74" t="str">
        <x:v>무작위 5세트 기대 23.0</x:v>
      </x:c>
      <x:c r="E9" s="75"/>
      <x:c r="F9" s="76"/>
      <x:c r="G9" s="74" t="str">
        <x:v>나머지 번호는 1세트</x:v>
      </x:c>
      <x:c r="H9" s="75"/>
      <x:c r="I9" s="76"/>
      <x:c r="J9" s="74" t="str">
        <x:v>조기 승격·폐기 없음</x:v>
      </x:c>
      <x:c r="K9" s="75"/>
      <x:c r="L9" s="76"/>
    </x:row>
    <x:row r="11">
      <x:c r="A11" s="34" t="str">
        <x:v>정확한 구조 반영 무작위 기준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6"/>
    </x:row>
    <x:row r="12">
      <x:c r="A12" s="111" t="str">
        <x:v>구간</x:v>
      </x:c>
      <x:c r="B12" s="112" t="str">
        <x:v>회차 수</x:v>
      </x:c>
      <x:c r="C12" s="112" t="str">
        <x:v>3개+ 기대</x:v>
      </x:c>
      <x:c r="D12" s="112" t="str">
        <x:v>3개+ 1회 이상</x:v>
      </x:c>
      <x:c r="E12" s="112" t="str">
        <x:v>4개+ 기대</x:v>
      </x:c>
      <x:c r="F12" s="112" t="str">
        <x:v>4개+ 1회 이상</x:v>
      </x:c>
      <x:c r="G12" s="112" t="str">
        <x:v>5개+ 기대</x:v>
      </x:c>
      <x:c r="H12" s="113" t="str">
        <x:v>5개+ 1회 이상</x:v>
      </x:c>
    </x:row>
    <x:row r="13">
      <x:c r="A13" s="133" t="str">
        <x:v>현재 경과</x:v>
      </x:c>
      <x:c r="B13" s="134" t="n">
        <x:v>8</x:v>
      </x:c>
      <x:c r="C13" s="159" t="n">
        <x:v>0.9533631428129439</x:v>
      </x:c>
      <x:c r="D13" s="171" t="n">
        <x:v>0.6319896089516153</x:v>
      </x:c>
      <x:c r="E13" s="159" t="n">
        <x:v>0.05573930701554068</x:v>
      </x:c>
      <x:c r="F13" s="171" t="n">
        <x:v>0.05439882818680083</x:v>
      </x:c>
      <x:c r="G13" s="165" t="n">
        <x:v>0.0011540737575904902</x:v>
      </x:c>
      <x:c r="H13" s="177" t="n">
        <x:v>0.0011534912254508312</x:v>
      </x:c>
    </x:row>
    <x:row r="14">
      <x:c r="A14" s="136" t="str">
        <x:v>남은 구간</x:v>
      </x:c>
      <x:c r="B14" s="137" t="n">
        <x:v>12</x:v>
      </x:c>
      <x:c r="C14" s="160" t="n">
        <x:v>1.4300447142194157</x:v>
      </x:c>
      <x:c r="D14" s="172" t="n">
        <x:v>0.7767506915773003</x:v>
      </x:c>
      <x:c r="E14" s="160" t="n">
        <x:v>0.08360896052331102</x:v>
      </x:c>
      <x:c r="F14" s="172" t="n">
        <x:v>0.08047825790625482</x:v>
      </x:c>
      <x:c r="G14" s="166" t="n">
        <x:v>0.001731110636385735</x:v>
      </x:c>
      <x:c r="H14" s="178" t="n">
        <x:v>0.0017297377889590002</x:v>
      </x:c>
    </x:row>
    <x:row r="15">
      <x:c r="A15" s="139" t="str">
        <x:v>전체 20회</x:v>
      </x:c>
      <x:c r="B15" s="140" t="n">
        <x:v>20</x:v>
      </x:c>
      <x:c r="C15" s="161" t="n">
        <x:v>2.383407857032358</x:v>
      </x:c>
      <x:c r="D15" s="173" t="n">
        <x:v>0.9178419347060802</x:v>
      </x:c>
      <x:c r="E15" s="161" t="n">
        <x:v>0.13934826753885163</x:v>
      </x:c>
      <x:c r="F15" s="173" t="n">
        <x:v>0.13049916316844018</x:v>
      </x:c>
      <x:c r="G15" s="167" t="n">
        <x:v>0.002885184393976224</x:v>
      </x:c>
      <x:c r="H15" s="179" t="n">
        <x:v>0.002881233777047936</x:v>
      </x:c>
    </x:row>
    <x:row r="18">
      <x:c r="A18" s="34" t="str">
        <x:v>현재 해석</x:v>
      </x:c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6"/>
    </x:row>
    <x:row r="19">
      <x:c r="A19" s="184" t="str">
        <x:v>8회 경과</x:v>
      </x:c>
      <x:c r="B19" s="185"/>
      <x:c r="C19" s="206" t="str">
        <x:v>3개+ 1건은 정확한 무작위 기대 0.95건과 거의 같습니다. 무작위 5세트라도 8회 안에 3개+가 한 번 이상 생길 확률은 63.2%입니다.</x:v>
      </x:c>
      <x:c r="D19" s="207"/>
      <x:c r="E19" s="207"/>
      <x:c r="F19" s="207"/>
      <x:c r="G19" s="207"/>
      <x:c r="H19" s="207"/>
      <x:c r="I19" s="207"/>
      <x:c r="J19" s="207"/>
      <x:c r="K19" s="207"/>
      <x:c r="L19" s="208"/>
    </x:row>
    <x:row r="20">
      <x:c r="A20" s="186" t="str">
        <x:v>4개+ 0건</x:v>
      </x:c>
      <x:c r="B20" s="187"/>
      <x:c r="C20" s="209" t="str">
        <x:v>8회 동안 4개+가 한 번도 없을 확률은 94.6%입니다. 현재 무성과는 실패 신호가 아니라 가장 흔한 상태입니다.</x:v>
      </x:c>
      <x:c r="D20" s="210"/>
      <x:c r="E20" s="210"/>
      <x:c r="F20" s="210"/>
      <x:c r="G20" s="210"/>
      <x:c r="H20" s="210"/>
      <x:c r="I20" s="210"/>
      <x:c r="J20" s="210"/>
      <x:c r="K20" s="210"/>
      <x:c r="L20" s="211"/>
    </x:row>
    <x:row r="21">
      <x:c r="A21" s="186" t="str">
        <x:v>남은 12회</x:v>
      </x:c>
      <x:c r="B21" s="187"/>
      <x:c r="C21" s="209" t="str">
        <x:v>구조를 그대로 둘 때 남은 구간에서 3개+가 한 번 이상 나올 기준확률은 77.7%, 4개+는 8.0%입니다. 이는 모델 예측치가 아니라 무작위 비교선입니다.</x:v>
      </x:c>
      <x:c r="D21" s="210"/>
      <x:c r="E21" s="210"/>
      <x:c r="F21" s="210"/>
      <x:c r="G21" s="210"/>
      <x:c r="H21" s="210"/>
      <x:c r="I21" s="210"/>
      <x:c r="J21" s="210"/>
      <x:c r="K21" s="210"/>
      <x:c r="L21" s="211"/>
    </x:row>
    <x:row r="22">
      <x:c r="A22" s="188" t="str">
        <x:v>운영 원칙</x:v>
      </x:c>
      <x:c r="B22" s="189"/>
      <x:c r="C22" s="212" t="str">
        <x:v>1234회에도 다섯 세트를 그대로 사용합니다. 세트 교체·가중치 수정·20번 집중 완화는 1245회 완결 전까지 하지 않습니다.</x:v>
      </x:c>
      <x:c r="D22" s="213"/>
      <x:c r="E22" s="213"/>
      <x:c r="F22" s="213"/>
      <x:c r="G22" s="213"/>
      <x:c r="H22" s="213"/>
      <x:c r="I22" s="213"/>
      <x:c r="J22" s="213"/>
      <x:c r="K22" s="213"/>
      <x:c r="L22" s="214"/>
    </x:row>
    <x:row r="25">
      <x:c r="A25" t="str">
        <x:v>구간</x:v>
      </x:c>
      <x:c r="B25" t="str">
        <x:v>4개+ 기대</x:v>
      </x:c>
      <x:c r="C25" t="str">
        <x:v>4개+ 1회 이상</x:v>
      </x:c>
    </x:row>
    <x:row r="26">
      <x:c r="A26" t="str">
        <x:v>현재 8회</x:v>
      </x:c>
      <x:c r="B26" t="n">
        <x:v>0.05573930701554068</x:v>
      </x:c>
      <x:c r="C26" t="n">
        <x:v>0.05439882818680083</x:v>
      </x:c>
    </x:row>
    <x:row r="27">
      <x:c r="A27" t="str">
        <x:v>남은 12회</x:v>
      </x:c>
      <x:c r="B27" t="n">
        <x:v>0.08360896052331102</x:v>
      </x:c>
      <x:c r="C27" t="n">
        <x:v>0.08047825790625482</x:v>
      </x:c>
    </x:row>
    <x:row r="28">
      <x:c r="A28" t="str">
        <x:v>전체 20회</x:v>
      </x:c>
      <x:c r="B28" t="n">
        <x:v>0.13934826753885163</x:v>
      </x:c>
      <x:c r="C28" t="n">
        <x:v>0.13049916316844018</x:v>
      </x:c>
    </x:row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7:C7"/>
    <x:mergeCell ref="A8:C8"/>
    <x:mergeCell ref="A9:C9"/>
    <x:mergeCell ref="D7:F7"/>
    <x:mergeCell ref="D8:F8"/>
    <x:mergeCell ref="D9:F9"/>
    <x:mergeCell ref="G7:I7"/>
    <x:mergeCell ref="G8:I8"/>
    <x:mergeCell ref="G9:I9"/>
    <x:mergeCell ref="J7:L7"/>
    <x:mergeCell ref="J8:L8"/>
    <x:mergeCell ref="J9:L9"/>
    <x:mergeCell ref="A11:L11"/>
    <x:mergeCell ref="A18:L18"/>
  </x:mergeCells>
  <x:pageMargins left="0.7" right="0.7" top="0.75" bottom="0.75" header="0.3" footer="0.3"/>
  <x:drawing xmlns:r="http://schemas.openxmlformats.org/officeDocument/2006/relationships" r:id="R8f9a561e8866401f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111" t="str">
        <x:v>순위</x:v>
      </x:c>
      <x:c r="B1" s="112" t="str">
        <x:v>번호1</x:v>
      </x:c>
      <x:c r="C1" s="112" t="str">
        <x:v>번호2</x:v>
      </x:c>
      <x:c r="D1" s="112" t="str">
        <x:v>번호3</x:v>
      </x:c>
      <x:c r="E1" s="112" t="str">
        <x:v>번호4</x:v>
      </x:c>
      <x:c r="F1" s="112" t="str">
        <x:v>번호5</x:v>
      </x:c>
      <x:c r="G1" s="112" t="str">
        <x:v>번호6</x:v>
      </x:c>
      <x:c r="H1" s="112" t="str">
        <x:v>합계</x:v>
      </x:c>
      <x:c r="I1" s="112" t="str">
        <x:v>홀수</x:v>
      </x:c>
      <x:c r="J1" s="112" t="str">
        <x:v>짝수</x:v>
      </x:c>
      <x:c r="K1" s="112" t="str">
        <x:v>저구간</x:v>
      </x:c>
      <x:c r="L1" s="112" t="str">
        <x:v>고구간</x:v>
      </x:c>
      <x:c r="M1" s="112" t="str">
        <x:v>1233회까지 3개+</x:v>
      </x:c>
      <x:c r="N1" s="113" t="str">
        <x:v>최고 적중</x:v>
      </x:c>
    </x:row>
    <x:row r="2">
      <x:c r="A2" s="233" t="n">
        <x:v>1</x:v>
      </x:c>
      <x:c r="B2" s="234" t="n">
        <x:v>1</x:v>
      </x:c>
      <x:c r="C2" s="234" t="n">
        <x:v>9</x:v>
      </x:c>
      <x:c r="D2" s="234" t="n">
        <x:v>19</x:v>
      </x:c>
      <x:c r="E2" s="234" t="n">
        <x:v>28</x:v>
      </x:c>
      <x:c r="F2" s="234" t="n">
        <x:v>29</x:v>
      </x:c>
      <x:c r="G2" s="234" t="n">
        <x:v>37</x:v>
      </x:c>
      <x:c r="H2" s="234" t="n">
        <x:v>123</x:v>
      </x:c>
      <x:c r="I2" s="234" t="n">
        <x:v>5</x:v>
      </x:c>
      <x:c r="J2" s="234" t="n">
        <x:v>1</x:v>
      </x:c>
      <x:c r="K2" s="234" t="n">
        <x:v>3</x:v>
      </x:c>
      <x:c r="L2" s="234" t="n">
        <x:v>3</x:v>
      </x:c>
      <x:c r="M2" s="234" t="n">
        <x:v>0</x:v>
      </x:c>
      <x:c r="N2" s="235" t="n">
        <x:v>2</x:v>
      </x:c>
    </x:row>
    <x:row r="3">
      <x:c r="A3" s="236" t="n">
        <x:v>2</x:v>
      </x:c>
      <x:c r="B3" s="237" t="n">
        <x:v>8</x:v>
      </x:c>
      <x:c r="C3" s="237" t="n">
        <x:v>18</x:v>
      </x:c>
      <x:c r="D3" s="237" t="n">
        <x:v>20</x:v>
      </x:c>
      <x:c r="E3" s="237" t="n">
        <x:v>22</x:v>
      </x:c>
      <x:c r="F3" s="237" t="n">
        <x:v>30</x:v>
      </x:c>
      <x:c r="G3" s="237" t="n">
        <x:v>43</x:v>
      </x:c>
      <x:c r="H3" s="237" t="n">
        <x:v>141</x:v>
      </x:c>
      <x:c r="I3" s="237" t="n">
        <x:v>1</x:v>
      </x:c>
      <x:c r="J3" s="237" t="n">
        <x:v>5</x:v>
      </x:c>
      <x:c r="K3" s="237" t="n">
        <x:v>4</x:v>
      </x:c>
      <x:c r="L3" s="237" t="n">
        <x:v>2</x:v>
      </x:c>
      <x:c r="M3" s="237" t="n">
        <x:v>0</x:v>
      </x:c>
      <x:c r="N3" s="238" t="n">
        <x:v>2</x:v>
      </x:c>
    </x:row>
    <x:row r="4">
      <x:c r="A4" s="236" t="n">
        <x:v>3</x:v>
      </x:c>
      <x:c r="B4" s="237" t="n">
        <x:v>2</x:v>
      </x:c>
      <x:c r="C4" s="237" t="n">
        <x:v>24</x:v>
      </x:c>
      <x:c r="D4" s="237" t="n">
        <x:v>26</x:v>
      </x:c>
      <x:c r="E4" s="237" t="n">
        <x:v>27</x:v>
      </x:c>
      <x:c r="F4" s="237" t="n">
        <x:v>31</x:v>
      </x:c>
      <x:c r="G4" s="237" t="n">
        <x:v>44</x:v>
      </x:c>
      <x:c r="H4" s="237" t="n">
        <x:v>154</x:v>
      </x:c>
      <x:c r="I4" s="237" t="n">
        <x:v>2</x:v>
      </x:c>
      <x:c r="J4" s="237" t="n">
        <x:v>4</x:v>
      </x:c>
      <x:c r="K4" s="237" t="n">
        <x:v>1</x:v>
      </x:c>
      <x:c r="L4" s="237" t="n">
        <x:v>5</x:v>
      </x:c>
      <x:c r="M4" s="237" t="n">
        <x:v>1</x:v>
      </x:c>
      <x:c r="N4" s="238" t="n">
        <x:v>3</x:v>
      </x:c>
    </x:row>
    <x:row r="5">
      <x:c r="A5" s="236" t="n">
        <x:v>4</x:v>
      </x:c>
      <x:c r="B5" s="237" t="n">
        <x:v>7</x:v>
      </x:c>
      <x:c r="C5" s="237" t="n">
        <x:v>20</x:v>
      </x:c>
      <x:c r="D5" s="237" t="n">
        <x:v>23</x:v>
      </x:c>
      <x:c r="E5" s="237" t="n">
        <x:v>36</x:v>
      </x:c>
      <x:c r="F5" s="237" t="n">
        <x:v>38</x:v>
      </x:c>
      <x:c r="G5" s="237" t="n">
        <x:v>42</x:v>
      </x:c>
      <x:c r="H5" s="237" t="n">
        <x:v>166</x:v>
      </x:c>
      <x:c r="I5" s="237" t="n">
        <x:v>2</x:v>
      </x:c>
      <x:c r="J5" s="237" t="n">
        <x:v>4</x:v>
      </x:c>
      <x:c r="K5" s="237" t="n">
        <x:v>2</x:v>
      </x:c>
      <x:c r="L5" s="237" t="n">
        <x:v>4</x:v>
      </x:c>
      <x:c r="M5" s="237" t="n">
        <x:v>0</x:v>
      </x:c>
      <x:c r="N5" s="238" t="n">
        <x:v>2</x:v>
      </x:c>
    </x:row>
    <x:row r="6">
      <x:c r="A6" s="239" t="n">
        <x:v>5</x:v>
      </x:c>
      <x:c r="B6" s="240" t="n">
        <x:v>14</x:v>
      </x:c>
      <x:c r="C6" s="240" t="n">
        <x:v>15</x:v>
      </x:c>
      <x:c r="D6" s="240" t="n">
        <x:v>20</x:v>
      </x:c>
      <x:c r="E6" s="240" t="n">
        <x:v>21</x:v>
      </x:c>
      <x:c r="F6" s="240" t="n">
        <x:v>41</x:v>
      </x:c>
      <x:c r="G6" s="240" t="n">
        <x:v>45</x:v>
      </x:c>
      <x:c r="H6" s="240" t="n">
        <x:v>156</x:v>
      </x:c>
      <x:c r="I6" s="240" t="n">
        <x:v>4</x:v>
      </x:c>
      <x:c r="J6" s="240" t="n">
        <x:v>2</x:v>
      </x:c>
      <x:c r="K6" s="240" t="n">
        <x:v>4</x:v>
      </x:c>
      <x:c r="L6" s="240" t="n">
        <x:v>2</x:v>
      </x:c>
      <x:c r="M6" s="240" t="n">
        <x:v>0</x:v>
      </x:c>
      <x:c r="N6" s="241" t="n">
        <x:v>2</x:v>
      </x:c>
    </x:row>
    <x:row r="9">
      <x:c r="A9" s="256" t="str">
        <x:v>1234회 공식 사용 번호 · 1225회 종료 창의 봉인 번호와 동일</x:v>
      </x:c>
      <x:c r="B9" s="257"/>
      <x:c r="C9" s="257"/>
      <x:c r="D9" s="257"/>
      <x:c r="E9" s="257"/>
      <x:c r="F9" s="257"/>
      <x:c r="G9" s="257"/>
      <x:c r="H9" s="257"/>
      <x:c r="I9" s="257"/>
      <x:c r="J9" s="257"/>
      <x:c r="K9" s="257"/>
      <x:c r="L9" s="257"/>
      <x:c r="M9" s="257"/>
      <x:c r="N9" s="258"/>
    </x:row>
    <x:row r="11">
      <x:c r="A11" s="111" t="str">
        <x:v>구조 지표</x:v>
      </x:c>
      <x:c r="B11" s="112" t="str">
        <x:v>관측</x:v>
      </x:c>
      <x:c r="C11" s="112" t="str">
        <x:v>비교</x:v>
      </x:c>
      <x:c r="D11" s="113" t="str">
        <x:v>해석</x:v>
      </x:c>
      <x:c r="F11" s="111" t="str">
        <x:v>포지션</x:v>
      </x:c>
      <x:c r="G11" s="112" t="str">
        <x:v>개수</x:v>
      </x:c>
      <x:c r="H11" s="112" t="str">
        <x:v>반대 포지션</x:v>
      </x:c>
      <x:c r="I11" s="113" t="str">
        <x:v>개수</x:v>
      </x:c>
    </x:row>
    <x:row r="12">
      <x:c r="A12" s="267" t="str">
        <x:v>고유번호</x:v>
      </x:c>
      <x:c r="B12" s="268" t="n">
        <x:v>28</x:v>
      </x:c>
      <x:c r="C12" s="268" t="n">
        <x:v>22.99745185185185</x:v>
      </x:c>
      <x:c r="D12" s="269" t="str">
        <x:v>무작위 5세트보다 넓은 커버</x:v>
      </x:c>
      <x:c r="F12" s="133" t="str">
        <x:v>홀수</x:v>
      </x:c>
      <x:c r="G12" s="134" t="n">
        <x:v>14</x:v>
      </x:c>
      <x:c r="H12" s="134" t="str">
        <x:v>짝수</x:v>
      </x:c>
      <x:c r="I12" s="135" t="n">
        <x:v>16</x:v>
      </x:c>
    </x:row>
    <x:row r="13">
      <x:c r="A13" s="270" t="str">
        <x:v>고유번호 비율</x:v>
      </x:c>
      <x:c r="B13" s="285" t="n">
        <x:v>0.6222222222222222</x:v>
      </x:c>
      <x:c r="C13" s="271" t="str"/>
      <x:c r="D13" s="272" t="str">
        <x:v>45개 중 사용 비율</x:v>
      </x:c>
      <x:c r="F13" s="136" t="str">
        <x:v>1~22</x:v>
      </x:c>
      <x:c r="G13" s="137" t="n">
        <x:v>14</x:v>
      </x:c>
      <x:c r="H13" s="137" t="str">
        <x:v>23~45</x:v>
      </x:c>
      <x:c r="I13" s="138" t="n">
        <x:v>16</x:v>
      </x:c>
    </x:row>
    <x:row r="14">
      <x:c r="A14" s="270" t="str">
        <x:v>평균 세트 겹침</x:v>
      </x:c>
      <x:c r="B14" s="287" t="n">
        <x:v>0.3</x:v>
      </x:c>
      <x:c r="C14" s="271" t="str"/>
      <x:c r="D14" s="272" t="str">
        <x:v>10개 세트쌍 기준</x:v>
      </x:c>
      <x:c r="F14" s="136" t="str">
        <x:v>최대 노출번호</x:v>
      </x:c>
      <x:c r="G14" s="137" t="str">
        <x:v>20</x:v>
      </x:c>
      <x:c r="H14" s="137" t="str">
        <x:v>노출 세트</x:v>
      </x:c>
      <x:c r="I14" s="138" t="n">
        <x:v>3</x:v>
      </x:c>
    </x:row>
    <x:row r="15">
      <x:c r="A15" s="273" t="str">
        <x:v>최대 세트 겹침</x:v>
      </x:c>
      <x:c r="B15" s="288" t="n">
        <x:v>1</x:v>
      </x:c>
      <x:c r="C15" s="274" t="str"/>
      <x:c r="D15" s="275" t="str">
        <x:v>공유번호는 20번 하나</x:v>
      </x:c>
      <x:c r="F15" s="139" t="str">
        <x:v>나머지 노출</x:v>
      </x:c>
      <x:c r="G15" s="140" t="str">
        <x:v>각 1세트</x:v>
      </x:c>
      <x:c r="H15" s="140" t="str">
        <x:v>전체 자리</x:v>
      </x:c>
      <x:c r="I15" s="141" t="n">
        <x:v>30</x:v>
      </x:c>
    </x:row>
  </x:sheetData>
  <x:mergeCells>
    <x:mergeCell ref="A9:N9"/>
  </x:mergeCells>
  <x:conditionalFormatting sqref="M2:M6">
    <x:cfRule type="dataBar" priority="1">
      <x:dataBar>
        <x:cfvo type="min"/>
        <x:cfvo type="max"/>
        <x:color rgb="FF4F8A99"/>
      </x:dataBar>
      <x:extLst>
        <x:ext xmlns:x14="http://schemas.microsoft.com/office/spreadsheetml/2009/9/main" uri="{B025F937-C7B1-47D3-B67F-A62EFF666E3E}">
          <x14:id>{DB523A78-2E68-0B85-EB6B-9BFA97C07BDA}</x14:id>
        </x:ext>
      </x:extLst>
    </x:cfRule>
  </x:conditionalFormatting>
  <x:conditionalFormatting sqref="N2:N6">
    <x:cfRule type="colorScale" priority="2">
      <x:colorScale>
        <x:cfvo type="min"/>
        <x:cfvo type="percentile" val="50"/>
        <x:cfvo type="max"/>
        <x:color rgb="FFF2F6F8"/>
        <x:color rgb="FFE6F1F8"/>
        <x:color rgb="FFDFF3E7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B523A78-2E68-0B85-EB6B-9BFA97C07BDA}">
            <x14:dataBar gradient="1">
              <x14:cfvo type="min"/>
              <x14:cfvo type="max"/>
              <x14:fillColor rgb="FF4F8A99"/>
            </x14:dataBar>
          </x14:cfRule>
          <xm:sqref>M2:M6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>
      <x:c r="A1" s="111" t="str">
        <x:v>회차</x:v>
      </x:c>
      <x:c r="B1" s="112" t="str">
        <x:v>날짜</x:v>
      </x:c>
      <x:c r="C1" s="112" t="str">
        <x:v>상태</x:v>
      </x:c>
      <x:c r="D1" s="112" t="str">
        <x:v>본번호1</x:v>
      </x:c>
      <x:c r="E1" s="112" t="str">
        <x:v>본번호2</x:v>
      </x:c>
      <x:c r="F1" s="112" t="str">
        <x:v>본번호3</x:v>
      </x:c>
      <x:c r="G1" s="112" t="str">
        <x:v>본번호4</x:v>
      </x:c>
      <x:c r="H1" s="112" t="str">
        <x:v>본번호5</x:v>
      </x:c>
      <x:c r="I1" s="112" t="str">
        <x:v>본번호6</x:v>
      </x:c>
      <x:c r="J1" s="112" t="str">
        <x:v>1세트</x:v>
      </x:c>
      <x:c r="K1" s="112" t="str">
        <x:v>2세트</x:v>
      </x:c>
      <x:c r="L1" s="112" t="str">
        <x:v>3세트</x:v>
      </x:c>
      <x:c r="M1" s="112" t="str">
        <x:v>4세트</x:v>
      </x:c>
      <x:c r="N1" s="112" t="str">
        <x:v>5세트</x:v>
      </x:c>
      <x:c r="O1" s="112" t="str">
        <x:v>최고</x:v>
      </x:c>
      <x:c r="P1" s="112" t="str">
        <x:v>3개+ 티켓</x:v>
      </x:c>
      <x:c r="Q1" s="112" t="str">
        <x:v>4개+ 티켓</x:v>
      </x:c>
      <x:c r="R1" s="112" t="str">
        <x:v>5개+ 티켓</x:v>
      </x:c>
      <x:c r="S1" s="113" t="str">
        <x:v>코멘트</x:v>
      </x:c>
    </x:row>
    <x:row r="2">
      <x:c r="A2" s="233" t="n">
        <x:v>1226</x:v>
      </x:c>
      <x:c r="B2" s="234" t="str">
        <x:v>2026-05-30</x:v>
      </x:c>
      <x:c r="C2" s="234" t="str">
        <x:v>확정</x:v>
      </x:c>
      <x:c r="D2" s="234" t="n">
        <x:v>4</x:v>
      </x:c>
      <x:c r="E2" s="234" t="n">
        <x:v>6</x:v>
      </x:c>
      <x:c r="F2" s="234" t="n">
        <x:v>13</x:v>
      </x:c>
      <x:c r="G2" s="234" t="n">
        <x:v>17</x:v>
      </x:c>
      <x:c r="H2" s="234" t="n">
        <x:v>26</x:v>
      </x:c>
      <x:c r="I2" s="234" t="n">
        <x:v>28</x:v>
      </x:c>
      <x:c r="J2" s="234" t="n">
        <x:f>IF(COUNTA($D2:$I2)&lt;6,"",COUNTIF($D2:$I2,'공식 5세트'!$B$2)+COUNTIF($D2:$I2,'공식 5세트'!$C$2)+COUNTIF($D2:$I2,'공식 5세트'!$D$2)+COUNTIF($D2:$I2,'공식 5세트'!$E$2)+COUNTIF($D2:$I2,'공식 5세트'!$F$2)+COUNTIF($D2:$I2,'공식 5세트'!$G$2))</x:f>
        <x:v>1</x:v>
      </x:c>
      <x:c r="K2" s="234" t="n">
        <x:f>IF(COUNTA($D2:$I2)&lt;6,"",COUNTIF($D2:$I2,'공식 5세트'!$B$3)+COUNTIF($D2:$I2,'공식 5세트'!$C$3)+COUNTIF($D2:$I2,'공식 5세트'!$D$3)+COUNTIF($D2:$I2,'공식 5세트'!$E$3)+COUNTIF($D2:$I2,'공식 5세트'!$F$3)+COUNTIF($D2:$I2,'공식 5세트'!$G$3))</x:f>
        <x:v>0</x:v>
      </x:c>
      <x:c r="L2" s="234" t="n">
        <x:f>IF(COUNTA($D2:$I2)&lt;6,"",COUNTIF($D2:$I2,'공식 5세트'!$B$4)+COUNTIF($D2:$I2,'공식 5세트'!$C$4)+COUNTIF($D2:$I2,'공식 5세트'!$D$4)+COUNTIF($D2:$I2,'공식 5세트'!$E$4)+COUNTIF($D2:$I2,'공식 5세트'!$F$4)+COUNTIF($D2:$I2,'공식 5세트'!$G$4))</x:f>
        <x:v>1</x:v>
      </x:c>
      <x:c r="M2" s="234" t="n">
        <x:f>IF(COUNTA($D2:$I2)&lt;6,"",COUNTIF($D2:$I2,'공식 5세트'!$B$5)+COUNTIF($D2:$I2,'공식 5세트'!$C$5)+COUNTIF($D2:$I2,'공식 5세트'!$D$5)+COUNTIF($D2:$I2,'공식 5세트'!$E$5)+COUNTIF($D2:$I2,'공식 5세트'!$F$5)+COUNTIF($D2:$I2,'공식 5세트'!$G$5))</x:f>
        <x:v>0</x:v>
      </x:c>
      <x:c r="N2" s="234" t="n">
        <x:f>IF(COUNTA($D2:$I2)&lt;6,"",COUNTIF($D2:$I2,'공식 5세트'!$B$6)+COUNTIF($D2:$I2,'공식 5세트'!$C$6)+COUNTIF($D2:$I2,'공식 5세트'!$D$6)+COUNTIF($D2:$I2,'공식 5세트'!$E$6)+COUNTIF($D2:$I2,'공식 5세트'!$F$6)+COUNTIF($D2:$I2,'공식 5세트'!$G$6))</x:f>
        <x:v>0</x:v>
      </x:c>
      <x:c r="O2" s="234" t="n">
        <x:f>IF(COUNTA($D2:$I2)&lt;6,"",MAX(J2:N2))</x:f>
        <x:v>1</x:v>
      </x:c>
      <x:c r="P2" s="234" t="n">
        <x:f>IF(O2="","",COUNTIF(J2:N2,"&gt;=3"))</x:f>
        <x:v>0</x:v>
      </x:c>
      <x:c r="Q2" s="234" t="n">
        <x:f>IF(O2="","",COUNTIF(J2:N2,"&gt;=4"))</x:f>
        <x:v>0</x:v>
      </x:c>
      <x:c r="R2" s="234" t="n">
        <x:f>IF(O2="","",COUNTIF(J2:N2,"&gt;=5"))</x:f>
        <x:v>0</x:v>
      </x:c>
      <x:c r="S2" s="235" t="str">
        <x:f>IF(O2="","대기",IF(R2&gt;0,"5개 이상",IF(Q2&gt;0,"4개 적중",IF(P2&gt;0,"3개 적중",""))))</x:f>
      </x:c>
    </x:row>
    <x:row r="3">
      <x:c r="A3" s="236" t="n">
        <x:v>1227</x:v>
      </x:c>
      <x:c r="B3" s="237" t="str">
        <x:v>2026-06-06</x:v>
      </x:c>
      <x:c r="C3" s="237" t="str">
        <x:v>확정</x:v>
      </x:c>
      <x:c r="D3" s="237" t="n">
        <x:v>1</x:v>
      </x:c>
      <x:c r="E3" s="237" t="n">
        <x:v>14</x:v>
      </x:c>
      <x:c r="F3" s="237" t="n">
        <x:v>16</x:v>
      </x:c>
      <x:c r="G3" s="237" t="n">
        <x:v>34</x:v>
      </x:c>
      <x:c r="H3" s="237" t="n">
        <x:v>41</x:v>
      </x:c>
      <x:c r="I3" s="237" t="n">
        <x:v>44</x:v>
      </x:c>
      <x:c r="J3" s="237" t="n">
        <x:f>IF(COUNTA($D3:$I3)&lt;6,"",COUNTIF($D3:$I3,'공식 5세트'!$B$2)+COUNTIF($D3:$I3,'공식 5세트'!$C$2)+COUNTIF($D3:$I3,'공식 5세트'!$D$2)+COUNTIF($D3:$I3,'공식 5세트'!$E$2)+COUNTIF($D3:$I3,'공식 5세트'!$F$2)+COUNTIF($D3:$I3,'공식 5세트'!$G$2))</x:f>
        <x:v>1</x:v>
      </x:c>
      <x:c r="K3" s="237" t="n">
        <x:f>IF(COUNTA($D3:$I3)&lt;6,"",COUNTIF($D3:$I3,'공식 5세트'!$B$3)+COUNTIF($D3:$I3,'공식 5세트'!$C$3)+COUNTIF($D3:$I3,'공식 5세트'!$D$3)+COUNTIF($D3:$I3,'공식 5세트'!$E$3)+COUNTIF($D3:$I3,'공식 5세트'!$F$3)+COUNTIF($D3:$I3,'공식 5세트'!$G$3))</x:f>
        <x:v>0</x:v>
      </x:c>
      <x:c r="L3" s="237" t="n">
        <x:f>IF(COUNTA($D3:$I3)&lt;6,"",COUNTIF($D3:$I3,'공식 5세트'!$B$4)+COUNTIF($D3:$I3,'공식 5세트'!$C$4)+COUNTIF($D3:$I3,'공식 5세트'!$D$4)+COUNTIF($D3:$I3,'공식 5세트'!$E$4)+COUNTIF($D3:$I3,'공식 5세트'!$F$4)+COUNTIF($D3:$I3,'공식 5세트'!$G$4))</x:f>
        <x:v>1</x:v>
      </x:c>
      <x:c r="M3" s="237" t="n">
        <x:f>IF(COUNTA($D3:$I3)&lt;6,"",COUNTIF($D3:$I3,'공식 5세트'!$B$5)+COUNTIF($D3:$I3,'공식 5세트'!$C$5)+COUNTIF($D3:$I3,'공식 5세트'!$D$5)+COUNTIF($D3:$I3,'공식 5세트'!$E$5)+COUNTIF($D3:$I3,'공식 5세트'!$F$5)+COUNTIF($D3:$I3,'공식 5세트'!$G$5))</x:f>
        <x:v>0</x:v>
      </x:c>
      <x:c r="N3" s="237" t="n">
        <x:f>IF(COUNTA($D3:$I3)&lt;6,"",COUNTIF($D3:$I3,'공식 5세트'!$B$6)+COUNTIF($D3:$I3,'공식 5세트'!$C$6)+COUNTIF($D3:$I3,'공식 5세트'!$D$6)+COUNTIF($D3:$I3,'공식 5세트'!$E$6)+COUNTIF($D3:$I3,'공식 5세트'!$F$6)+COUNTIF($D3:$I3,'공식 5세트'!$G$6))</x:f>
        <x:v>2</x:v>
      </x:c>
      <x:c r="O3" s="237" t="n">
        <x:f>IF(COUNTA($D3:$I3)&lt;6,"",MAX(J3:N3))</x:f>
        <x:v>2</x:v>
      </x:c>
      <x:c r="P3" s="237" t="n">
        <x:f>IF(O3="","",COUNTIF(J3:N3,"&gt;=3"))</x:f>
        <x:v>0</x:v>
      </x:c>
      <x:c r="Q3" s="237" t="n">
        <x:f>IF(O3="","",COUNTIF(J3:N3,"&gt;=4"))</x:f>
        <x:v>0</x:v>
      </x:c>
      <x:c r="R3" s="237" t="n">
        <x:f>IF(O3="","",COUNTIF(J3:N3,"&gt;=5"))</x:f>
        <x:v>0</x:v>
      </x:c>
      <x:c r="S3" s="238" t="str">
        <x:f>IF(O3="","대기",IF(R3&gt;0,"5개 이상",IF(Q3&gt;0,"4개 적중",IF(P3&gt;0,"3개 적중",""))))</x:f>
      </x:c>
    </x:row>
    <x:row r="4">
      <x:c r="A4" s="236" t="n">
        <x:v>1228</x:v>
      </x:c>
      <x:c r="B4" s="237" t="str">
        <x:v>2026-06-13</x:v>
      </x:c>
      <x:c r="C4" s="237" t="str">
        <x:v>확정</x:v>
      </x:c>
      <x:c r="D4" s="237" t="n">
        <x:v>24</x:v>
      </x:c>
      <x:c r="E4" s="237" t="n">
        <x:v>29</x:v>
      </x:c>
      <x:c r="F4" s="237" t="n">
        <x:v>30</x:v>
      </x:c>
      <x:c r="G4" s="237" t="n">
        <x:v>31</x:v>
      </x:c>
      <x:c r="H4" s="237" t="n">
        <x:v>35</x:v>
      </x:c>
      <x:c r="I4" s="237" t="n">
        <x:v>44</x:v>
      </x:c>
      <x:c r="J4" s="237" t="n">
        <x:f>IF(COUNTA($D4:$I4)&lt;6,"",COUNTIF($D4:$I4,'공식 5세트'!$B$2)+COUNTIF($D4:$I4,'공식 5세트'!$C$2)+COUNTIF($D4:$I4,'공식 5세트'!$D$2)+COUNTIF($D4:$I4,'공식 5세트'!$E$2)+COUNTIF($D4:$I4,'공식 5세트'!$F$2)+COUNTIF($D4:$I4,'공식 5세트'!$G$2))</x:f>
        <x:v>1</x:v>
      </x:c>
      <x:c r="K4" s="237" t="n">
        <x:f>IF(COUNTA($D4:$I4)&lt;6,"",COUNTIF($D4:$I4,'공식 5세트'!$B$3)+COUNTIF($D4:$I4,'공식 5세트'!$C$3)+COUNTIF($D4:$I4,'공식 5세트'!$D$3)+COUNTIF($D4:$I4,'공식 5세트'!$E$3)+COUNTIF($D4:$I4,'공식 5세트'!$F$3)+COUNTIF($D4:$I4,'공식 5세트'!$G$3))</x:f>
        <x:v>1</x:v>
      </x:c>
      <x:c r="L4" s="237" t="n">
        <x:f>IF(COUNTA($D4:$I4)&lt;6,"",COUNTIF($D4:$I4,'공식 5세트'!$B$4)+COUNTIF($D4:$I4,'공식 5세트'!$C$4)+COUNTIF($D4:$I4,'공식 5세트'!$D$4)+COUNTIF($D4:$I4,'공식 5세트'!$E$4)+COUNTIF($D4:$I4,'공식 5세트'!$F$4)+COUNTIF($D4:$I4,'공식 5세트'!$G$4))</x:f>
        <x:v>3</x:v>
      </x:c>
      <x:c r="M4" s="237" t="n">
        <x:f>IF(COUNTA($D4:$I4)&lt;6,"",COUNTIF($D4:$I4,'공식 5세트'!$B$5)+COUNTIF($D4:$I4,'공식 5세트'!$C$5)+COUNTIF($D4:$I4,'공식 5세트'!$D$5)+COUNTIF($D4:$I4,'공식 5세트'!$E$5)+COUNTIF($D4:$I4,'공식 5세트'!$F$5)+COUNTIF($D4:$I4,'공식 5세트'!$G$5))</x:f>
        <x:v>0</x:v>
      </x:c>
      <x:c r="N4" s="237" t="n">
        <x:f>IF(COUNTA($D4:$I4)&lt;6,"",COUNTIF($D4:$I4,'공식 5세트'!$B$6)+COUNTIF($D4:$I4,'공식 5세트'!$C$6)+COUNTIF($D4:$I4,'공식 5세트'!$D$6)+COUNTIF($D4:$I4,'공식 5세트'!$E$6)+COUNTIF($D4:$I4,'공식 5세트'!$F$6)+COUNTIF($D4:$I4,'공식 5세트'!$G$6))</x:f>
        <x:v>0</x:v>
      </x:c>
      <x:c r="O4" s="237" t="n">
        <x:f>IF(COUNTA($D4:$I4)&lt;6,"",MAX(J4:N4))</x:f>
        <x:v>3</x:v>
      </x:c>
      <x:c r="P4" s="237" t="n">
        <x:f>IF(O4="","",COUNTIF(J4:N4,"&gt;=3"))</x:f>
        <x:v>1</x:v>
      </x:c>
      <x:c r="Q4" s="237" t="n">
        <x:f>IF(O4="","",COUNTIF(J4:N4,"&gt;=4"))</x:f>
        <x:v>0</x:v>
      </x:c>
      <x:c r="R4" s="237" t="n">
        <x:f>IF(O4="","",COUNTIF(J4:N4,"&gt;=5"))</x:f>
        <x:v>0</x:v>
      </x:c>
      <x:c r="S4" s="238" t="str">
        <x:f>IF(O4="","대기",IF(R4&gt;0,"5개 이상",IF(Q4&gt;0,"4개 적중",IF(P4&gt;0,"3개 적중",""))))</x:f>
        <x:v>3개 적중</x:v>
      </x:c>
    </x:row>
    <x:row r="5">
      <x:c r="A5" s="236" t="n">
        <x:v>1229</x:v>
      </x:c>
      <x:c r="B5" s="237" t="str">
        <x:v>2026-06-20</x:v>
      </x:c>
      <x:c r="C5" s="237" t="str">
        <x:v>확정</x:v>
      </x:c>
      <x:c r="D5" s="237" t="n">
        <x:v>12</x:v>
      </x:c>
      <x:c r="E5" s="237" t="n">
        <x:v>13</x:v>
      </x:c>
      <x:c r="F5" s="237" t="n">
        <x:v>29</x:v>
      </x:c>
      <x:c r="G5" s="237" t="n">
        <x:v>34</x:v>
      </x:c>
      <x:c r="H5" s="237" t="n">
        <x:v>37</x:v>
      </x:c>
      <x:c r="I5" s="237" t="n">
        <x:v>42</x:v>
      </x:c>
      <x:c r="J5" s="237" t="n">
        <x:f>IF(COUNTA($D5:$I5)&lt;6,"",COUNTIF($D5:$I5,'공식 5세트'!$B$2)+COUNTIF($D5:$I5,'공식 5세트'!$C$2)+COUNTIF($D5:$I5,'공식 5세트'!$D$2)+COUNTIF($D5:$I5,'공식 5세트'!$E$2)+COUNTIF($D5:$I5,'공식 5세트'!$F$2)+COUNTIF($D5:$I5,'공식 5세트'!$G$2))</x:f>
        <x:v>2</x:v>
      </x:c>
      <x:c r="K5" s="237" t="n">
        <x:f>IF(COUNTA($D5:$I5)&lt;6,"",COUNTIF($D5:$I5,'공식 5세트'!$B$3)+COUNTIF($D5:$I5,'공식 5세트'!$C$3)+COUNTIF($D5:$I5,'공식 5세트'!$D$3)+COUNTIF($D5:$I5,'공식 5세트'!$E$3)+COUNTIF($D5:$I5,'공식 5세트'!$F$3)+COUNTIF($D5:$I5,'공식 5세트'!$G$3))</x:f>
        <x:v>0</x:v>
      </x:c>
      <x:c r="L5" s="237" t="n">
        <x:f>IF(COUNTA($D5:$I5)&lt;6,"",COUNTIF($D5:$I5,'공식 5세트'!$B$4)+COUNTIF($D5:$I5,'공식 5세트'!$C$4)+COUNTIF($D5:$I5,'공식 5세트'!$D$4)+COUNTIF($D5:$I5,'공식 5세트'!$E$4)+COUNTIF($D5:$I5,'공식 5세트'!$F$4)+COUNTIF($D5:$I5,'공식 5세트'!$G$4))</x:f>
        <x:v>0</x:v>
      </x:c>
      <x:c r="M5" s="237" t="n">
        <x:f>IF(COUNTA($D5:$I5)&lt;6,"",COUNTIF($D5:$I5,'공식 5세트'!$B$5)+COUNTIF($D5:$I5,'공식 5세트'!$C$5)+COUNTIF($D5:$I5,'공식 5세트'!$D$5)+COUNTIF($D5:$I5,'공식 5세트'!$E$5)+COUNTIF($D5:$I5,'공식 5세트'!$F$5)+COUNTIF($D5:$I5,'공식 5세트'!$G$5))</x:f>
        <x:v>1</x:v>
      </x:c>
      <x:c r="N5" s="237" t="n">
        <x:f>IF(COUNTA($D5:$I5)&lt;6,"",COUNTIF($D5:$I5,'공식 5세트'!$B$6)+COUNTIF($D5:$I5,'공식 5세트'!$C$6)+COUNTIF($D5:$I5,'공식 5세트'!$D$6)+COUNTIF($D5:$I5,'공식 5세트'!$E$6)+COUNTIF($D5:$I5,'공식 5세트'!$F$6)+COUNTIF($D5:$I5,'공식 5세트'!$G$6))</x:f>
        <x:v>0</x:v>
      </x:c>
      <x:c r="O5" s="237" t="n">
        <x:f>IF(COUNTA($D5:$I5)&lt;6,"",MAX(J5:N5))</x:f>
        <x:v>2</x:v>
      </x:c>
      <x:c r="P5" s="237" t="n">
        <x:f>IF(O5="","",COUNTIF(J5:N5,"&gt;=3"))</x:f>
        <x:v>0</x:v>
      </x:c>
      <x:c r="Q5" s="237" t="n">
        <x:f>IF(O5="","",COUNTIF(J5:N5,"&gt;=4"))</x:f>
        <x:v>0</x:v>
      </x:c>
      <x:c r="R5" s="237" t="n">
        <x:f>IF(O5="","",COUNTIF(J5:N5,"&gt;=5"))</x:f>
        <x:v>0</x:v>
      </x:c>
      <x:c r="S5" s="238" t="str">
        <x:f>IF(O5="","대기",IF(R5&gt;0,"5개 이상",IF(Q5&gt;0,"4개 적중",IF(P5&gt;0,"3개 적중",""))))</x:f>
      </x:c>
    </x:row>
    <x:row r="6">
      <x:c r="A6" s="236" t="n">
        <x:v>1230</x:v>
      </x:c>
      <x:c r="B6" s="237" t="str">
        <x:v>2026-06-27</x:v>
      </x:c>
      <x:c r="C6" s="237" t="str">
        <x:v>확정</x:v>
      </x:c>
      <x:c r="D6" s="237" t="n">
        <x:v>3</x:v>
      </x:c>
      <x:c r="E6" s="237" t="n">
        <x:v>8</x:v>
      </x:c>
      <x:c r="F6" s="237" t="n">
        <x:v>9</x:v>
      </x:c>
      <x:c r="G6" s="237" t="n">
        <x:v>22</x:v>
      </x:c>
      <x:c r="H6" s="237" t="n">
        <x:v>28</x:v>
      </x:c>
      <x:c r="I6" s="237" t="n">
        <x:v>42</x:v>
      </x:c>
      <x:c r="J6" s="237" t="n">
        <x:f>IF(COUNTA($D6:$I6)&lt;6,"",COUNTIF($D6:$I6,'공식 5세트'!$B$2)+COUNTIF($D6:$I6,'공식 5세트'!$C$2)+COUNTIF($D6:$I6,'공식 5세트'!$D$2)+COUNTIF($D6:$I6,'공식 5세트'!$E$2)+COUNTIF($D6:$I6,'공식 5세트'!$F$2)+COUNTIF($D6:$I6,'공식 5세트'!$G$2))</x:f>
        <x:v>2</x:v>
      </x:c>
      <x:c r="K6" s="237" t="n">
        <x:f>IF(COUNTA($D6:$I6)&lt;6,"",COUNTIF($D6:$I6,'공식 5세트'!$B$3)+COUNTIF($D6:$I6,'공식 5세트'!$C$3)+COUNTIF($D6:$I6,'공식 5세트'!$D$3)+COUNTIF($D6:$I6,'공식 5세트'!$E$3)+COUNTIF($D6:$I6,'공식 5세트'!$F$3)+COUNTIF($D6:$I6,'공식 5세트'!$G$3))</x:f>
        <x:v>2</x:v>
      </x:c>
      <x:c r="L6" s="237" t="n">
        <x:f>IF(COUNTA($D6:$I6)&lt;6,"",COUNTIF($D6:$I6,'공식 5세트'!$B$4)+COUNTIF($D6:$I6,'공식 5세트'!$C$4)+COUNTIF($D6:$I6,'공식 5세트'!$D$4)+COUNTIF($D6:$I6,'공식 5세트'!$E$4)+COUNTIF($D6:$I6,'공식 5세트'!$F$4)+COUNTIF($D6:$I6,'공식 5세트'!$G$4))</x:f>
        <x:v>0</x:v>
      </x:c>
      <x:c r="M6" s="237" t="n">
        <x:f>IF(COUNTA($D6:$I6)&lt;6,"",COUNTIF($D6:$I6,'공식 5세트'!$B$5)+COUNTIF($D6:$I6,'공식 5세트'!$C$5)+COUNTIF($D6:$I6,'공식 5세트'!$D$5)+COUNTIF($D6:$I6,'공식 5세트'!$E$5)+COUNTIF($D6:$I6,'공식 5세트'!$F$5)+COUNTIF($D6:$I6,'공식 5세트'!$G$5))</x:f>
        <x:v>1</x:v>
      </x:c>
      <x:c r="N6" s="237" t="n">
        <x:f>IF(COUNTA($D6:$I6)&lt;6,"",COUNTIF($D6:$I6,'공식 5세트'!$B$6)+COUNTIF($D6:$I6,'공식 5세트'!$C$6)+COUNTIF($D6:$I6,'공식 5세트'!$D$6)+COUNTIF($D6:$I6,'공식 5세트'!$E$6)+COUNTIF($D6:$I6,'공식 5세트'!$F$6)+COUNTIF($D6:$I6,'공식 5세트'!$G$6))</x:f>
        <x:v>0</x:v>
      </x:c>
      <x:c r="O6" s="237" t="n">
        <x:f>IF(COUNTA($D6:$I6)&lt;6,"",MAX(J6:N6))</x:f>
        <x:v>2</x:v>
      </x:c>
      <x:c r="P6" s="237" t="n">
        <x:f>IF(O6="","",COUNTIF(J6:N6,"&gt;=3"))</x:f>
        <x:v>0</x:v>
      </x:c>
      <x:c r="Q6" s="237" t="n">
        <x:f>IF(O6="","",COUNTIF(J6:N6,"&gt;=4"))</x:f>
        <x:v>0</x:v>
      </x:c>
      <x:c r="R6" s="237" t="n">
        <x:f>IF(O6="","",COUNTIF(J6:N6,"&gt;=5"))</x:f>
        <x:v>0</x:v>
      </x:c>
      <x:c r="S6" s="238" t="str">
        <x:f>IF(O6="","대기",IF(R6&gt;0,"5개 이상",IF(Q6&gt;0,"4개 적중",IF(P6&gt;0,"3개 적중",""))))</x:f>
      </x:c>
    </x:row>
    <x:row r="7">
      <x:c r="A7" s="236" t="n">
        <x:v>1231</x:v>
      </x:c>
      <x:c r="B7" s="237" t="str">
        <x:v>2026-07-04</x:v>
      </x:c>
      <x:c r="C7" s="237" t="str">
        <x:v>확정</x:v>
      </x:c>
      <x:c r="D7" s="237" t="n">
        <x:v>4</x:v>
      </x:c>
      <x:c r="E7" s="237" t="n">
        <x:v>13</x:v>
      </x:c>
      <x:c r="F7" s="237" t="n">
        <x:v>14</x:v>
      </x:c>
      <x:c r="G7" s="237" t="n">
        <x:v>18</x:v>
      </x:c>
      <x:c r="H7" s="237" t="n">
        <x:v>31</x:v>
      </x:c>
      <x:c r="I7" s="237" t="n">
        <x:v>38</x:v>
      </x:c>
      <x:c r="J7" s="237" t="n">
        <x:f>IF(COUNTA($D7:$I7)&lt;6,"",COUNTIF($D7:$I7,'공식 5세트'!$B$2)+COUNTIF($D7:$I7,'공식 5세트'!$C$2)+COUNTIF($D7:$I7,'공식 5세트'!$D$2)+COUNTIF($D7:$I7,'공식 5세트'!$E$2)+COUNTIF($D7:$I7,'공식 5세트'!$F$2)+COUNTIF($D7:$I7,'공식 5세트'!$G$2))</x:f>
        <x:v>0</x:v>
      </x:c>
      <x:c r="K7" s="237" t="n">
        <x:f>IF(COUNTA($D7:$I7)&lt;6,"",COUNTIF($D7:$I7,'공식 5세트'!$B$3)+COUNTIF($D7:$I7,'공식 5세트'!$C$3)+COUNTIF($D7:$I7,'공식 5세트'!$D$3)+COUNTIF($D7:$I7,'공식 5세트'!$E$3)+COUNTIF($D7:$I7,'공식 5세트'!$F$3)+COUNTIF($D7:$I7,'공식 5세트'!$G$3))</x:f>
        <x:v>1</x:v>
      </x:c>
      <x:c r="L7" s="237" t="n">
        <x:f>IF(COUNTA($D7:$I7)&lt;6,"",COUNTIF($D7:$I7,'공식 5세트'!$B$4)+COUNTIF($D7:$I7,'공식 5세트'!$C$4)+COUNTIF($D7:$I7,'공식 5세트'!$D$4)+COUNTIF($D7:$I7,'공식 5세트'!$E$4)+COUNTIF($D7:$I7,'공식 5세트'!$F$4)+COUNTIF($D7:$I7,'공식 5세트'!$G$4))</x:f>
        <x:v>1</x:v>
      </x:c>
      <x:c r="M7" s="237" t="n">
        <x:f>IF(COUNTA($D7:$I7)&lt;6,"",COUNTIF($D7:$I7,'공식 5세트'!$B$5)+COUNTIF($D7:$I7,'공식 5세트'!$C$5)+COUNTIF($D7:$I7,'공식 5세트'!$D$5)+COUNTIF($D7:$I7,'공식 5세트'!$E$5)+COUNTIF($D7:$I7,'공식 5세트'!$F$5)+COUNTIF($D7:$I7,'공식 5세트'!$G$5))</x:f>
        <x:v>1</x:v>
      </x:c>
      <x:c r="N7" s="237" t="n">
        <x:f>IF(COUNTA($D7:$I7)&lt;6,"",COUNTIF($D7:$I7,'공식 5세트'!$B$6)+COUNTIF($D7:$I7,'공식 5세트'!$C$6)+COUNTIF($D7:$I7,'공식 5세트'!$D$6)+COUNTIF($D7:$I7,'공식 5세트'!$E$6)+COUNTIF($D7:$I7,'공식 5세트'!$F$6)+COUNTIF($D7:$I7,'공식 5세트'!$G$6))</x:f>
        <x:v>1</x:v>
      </x:c>
      <x:c r="O7" s="237" t="n">
        <x:f>IF(COUNTA($D7:$I7)&lt;6,"",MAX(J7:N7))</x:f>
        <x:v>1</x:v>
      </x:c>
      <x:c r="P7" s="237" t="n">
        <x:f>IF(O7="","",COUNTIF(J7:N7,"&gt;=3"))</x:f>
        <x:v>0</x:v>
      </x:c>
      <x:c r="Q7" s="237" t="n">
        <x:f>IF(O7="","",COUNTIF(J7:N7,"&gt;=4"))</x:f>
        <x:v>0</x:v>
      </x:c>
      <x:c r="R7" s="237" t="n">
        <x:f>IF(O7="","",COUNTIF(J7:N7,"&gt;=5"))</x:f>
        <x:v>0</x:v>
      </x:c>
      <x:c r="S7" s="238" t="str">
        <x:f>IF(O7="","대기",IF(R7&gt;0,"5개 이상",IF(Q7&gt;0,"4개 적중",IF(P7&gt;0,"3개 적중",""))))</x:f>
      </x:c>
    </x:row>
    <x:row r="8">
      <x:c r="A8" s="236" t="n">
        <x:v>1232</x:v>
      </x:c>
      <x:c r="B8" s="237" t="str">
        <x:v>2026-07-11</x:v>
      </x:c>
      <x:c r="C8" s="237" t="str">
        <x:v>확정</x:v>
      </x:c>
      <x:c r="D8" s="237" t="n">
        <x:v>12</x:v>
      </x:c>
      <x:c r="E8" s="237" t="n">
        <x:v>15</x:v>
      </x:c>
      <x:c r="F8" s="237" t="n">
        <x:v>19</x:v>
      </x:c>
      <x:c r="G8" s="237" t="n">
        <x:v>22</x:v>
      </x:c>
      <x:c r="H8" s="237" t="n">
        <x:v>24</x:v>
      </x:c>
      <x:c r="I8" s="237" t="n">
        <x:v>36</x:v>
      </x:c>
      <x:c r="J8" s="237" t="n">
        <x:f>IF(COUNTA($D8:$I8)&lt;6,"",COUNTIF($D8:$I8,'공식 5세트'!$B$2)+COUNTIF($D8:$I8,'공식 5세트'!$C$2)+COUNTIF($D8:$I8,'공식 5세트'!$D$2)+COUNTIF($D8:$I8,'공식 5세트'!$E$2)+COUNTIF($D8:$I8,'공식 5세트'!$F$2)+COUNTIF($D8:$I8,'공식 5세트'!$G$2))</x:f>
        <x:v>1</x:v>
      </x:c>
      <x:c r="K8" s="237" t="n">
        <x:f>IF(COUNTA($D8:$I8)&lt;6,"",COUNTIF($D8:$I8,'공식 5세트'!$B$3)+COUNTIF($D8:$I8,'공식 5세트'!$C$3)+COUNTIF($D8:$I8,'공식 5세트'!$D$3)+COUNTIF($D8:$I8,'공식 5세트'!$E$3)+COUNTIF($D8:$I8,'공식 5세트'!$F$3)+COUNTIF($D8:$I8,'공식 5세트'!$G$3))</x:f>
        <x:v>1</x:v>
      </x:c>
      <x:c r="L8" s="237" t="n">
        <x:f>IF(COUNTA($D8:$I8)&lt;6,"",COUNTIF($D8:$I8,'공식 5세트'!$B$4)+COUNTIF($D8:$I8,'공식 5세트'!$C$4)+COUNTIF($D8:$I8,'공식 5세트'!$D$4)+COUNTIF($D8:$I8,'공식 5세트'!$E$4)+COUNTIF($D8:$I8,'공식 5세트'!$F$4)+COUNTIF($D8:$I8,'공식 5세트'!$G$4))</x:f>
        <x:v>1</x:v>
      </x:c>
      <x:c r="M8" s="237" t="n">
        <x:f>IF(COUNTA($D8:$I8)&lt;6,"",COUNTIF($D8:$I8,'공식 5세트'!$B$5)+COUNTIF($D8:$I8,'공식 5세트'!$C$5)+COUNTIF($D8:$I8,'공식 5세트'!$D$5)+COUNTIF($D8:$I8,'공식 5세트'!$E$5)+COUNTIF($D8:$I8,'공식 5세트'!$F$5)+COUNTIF($D8:$I8,'공식 5세트'!$G$5))</x:f>
        <x:v>1</x:v>
      </x:c>
      <x:c r="N8" s="237" t="n">
        <x:f>IF(COUNTA($D8:$I8)&lt;6,"",COUNTIF($D8:$I8,'공식 5세트'!$B$6)+COUNTIF($D8:$I8,'공식 5세트'!$C$6)+COUNTIF($D8:$I8,'공식 5세트'!$D$6)+COUNTIF($D8:$I8,'공식 5세트'!$E$6)+COUNTIF($D8:$I8,'공식 5세트'!$F$6)+COUNTIF($D8:$I8,'공식 5세트'!$G$6))</x:f>
        <x:v>1</x:v>
      </x:c>
      <x:c r="O8" s="237" t="n">
        <x:f>IF(COUNTA($D8:$I8)&lt;6,"",MAX(J8:N8))</x:f>
        <x:v>1</x:v>
      </x:c>
      <x:c r="P8" s="237" t="n">
        <x:f>IF(O8="","",COUNTIF(J8:N8,"&gt;=3"))</x:f>
        <x:v>0</x:v>
      </x:c>
      <x:c r="Q8" s="237" t="n">
        <x:f>IF(O8="","",COUNTIF(J8:N8,"&gt;=4"))</x:f>
        <x:v>0</x:v>
      </x:c>
      <x:c r="R8" s="237" t="n">
        <x:f>IF(O8="","",COUNTIF(J8:N8,"&gt;=5"))</x:f>
        <x:v>0</x:v>
      </x:c>
      <x:c r="S8" s="238" t="str">
        <x:f>IF(O8="","대기",IF(R8&gt;0,"5개 이상",IF(Q8&gt;0,"4개 적중",IF(P8&gt;0,"3개 적중",""))))</x:f>
      </x:c>
    </x:row>
    <x:row r="9">
      <x:c r="A9" s="236" t="n">
        <x:v>1233</x:v>
      </x:c>
      <x:c r="B9" s="237" t="str">
        <x:v>2026-07-18</x:v>
      </x:c>
      <x:c r="C9" s="237" t="str">
        <x:v>확정</x:v>
      </x:c>
      <x:c r="D9" s="237" t="n">
        <x:v>2</x:v>
      </x:c>
      <x:c r="E9" s="237" t="n">
        <x:v>7</x:v>
      </x:c>
      <x:c r="F9" s="237" t="n">
        <x:v>20</x:v>
      </x:c>
      <x:c r="G9" s="237" t="n">
        <x:v>25</x:v>
      </x:c>
      <x:c r="H9" s="237" t="n">
        <x:v>37</x:v>
      </x:c>
      <x:c r="I9" s="237" t="n">
        <x:v>40</x:v>
      </x:c>
      <x:c r="J9" s="237" t="n">
        <x:f>IF(COUNTA($D9:$I9)&lt;6,"",COUNTIF($D9:$I9,'공식 5세트'!$B$2)+COUNTIF($D9:$I9,'공식 5세트'!$C$2)+COUNTIF($D9:$I9,'공식 5세트'!$D$2)+COUNTIF($D9:$I9,'공식 5세트'!$E$2)+COUNTIF($D9:$I9,'공식 5세트'!$F$2)+COUNTIF($D9:$I9,'공식 5세트'!$G$2))</x:f>
        <x:v>1</x:v>
      </x:c>
      <x:c r="K9" s="237" t="n">
        <x:f>IF(COUNTA($D9:$I9)&lt;6,"",COUNTIF($D9:$I9,'공식 5세트'!$B$3)+COUNTIF($D9:$I9,'공식 5세트'!$C$3)+COUNTIF($D9:$I9,'공식 5세트'!$D$3)+COUNTIF($D9:$I9,'공식 5세트'!$E$3)+COUNTIF($D9:$I9,'공식 5세트'!$F$3)+COUNTIF($D9:$I9,'공식 5세트'!$G$3))</x:f>
        <x:v>1</x:v>
      </x:c>
      <x:c r="L9" s="237" t="n">
        <x:f>IF(COUNTA($D9:$I9)&lt;6,"",COUNTIF($D9:$I9,'공식 5세트'!$B$4)+COUNTIF($D9:$I9,'공식 5세트'!$C$4)+COUNTIF($D9:$I9,'공식 5세트'!$D$4)+COUNTIF($D9:$I9,'공식 5세트'!$E$4)+COUNTIF($D9:$I9,'공식 5세트'!$F$4)+COUNTIF($D9:$I9,'공식 5세트'!$G$4))</x:f>
        <x:v>1</x:v>
      </x:c>
      <x:c r="M9" s="237" t="n">
        <x:f>IF(COUNTA($D9:$I9)&lt;6,"",COUNTIF($D9:$I9,'공식 5세트'!$B$5)+COUNTIF($D9:$I9,'공식 5세트'!$C$5)+COUNTIF($D9:$I9,'공식 5세트'!$D$5)+COUNTIF($D9:$I9,'공식 5세트'!$E$5)+COUNTIF($D9:$I9,'공식 5세트'!$F$5)+COUNTIF($D9:$I9,'공식 5세트'!$G$5))</x:f>
        <x:v>2</x:v>
      </x:c>
      <x:c r="N9" s="237" t="n">
        <x:f>IF(COUNTA($D9:$I9)&lt;6,"",COUNTIF($D9:$I9,'공식 5세트'!$B$6)+COUNTIF($D9:$I9,'공식 5세트'!$C$6)+COUNTIF($D9:$I9,'공식 5세트'!$D$6)+COUNTIF($D9:$I9,'공식 5세트'!$E$6)+COUNTIF($D9:$I9,'공식 5세트'!$F$6)+COUNTIF($D9:$I9,'공식 5세트'!$G$6))</x:f>
        <x:v>1</x:v>
      </x:c>
      <x:c r="O9" s="237" t="n">
        <x:f>IF(COUNTA($D9:$I9)&lt;6,"",MAX(J9:N9))</x:f>
        <x:v>2</x:v>
      </x:c>
      <x:c r="P9" s="237" t="n">
        <x:f>IF(O9="","",COUNTIF(J9:N9,"&gt;=3"))</x:f>
        <x:v>0</x:v>
      </x:c>
      <x:c r="Q9" s="237" t="n">
        <x:f>IF(O9="","",COUNTIF(J9:N9,"&gt;=4"))</x:f>
        <x:v>0</x:v>
      </x:c>
      <x:c r="R9" s="237" t="n">
        <x:f>IF(O9="","",COUNTIF(J9:N9,"&gt;=5"))</x:f>
        <x:v>0</x:v>
      </x:c>
      <x:c r="S9" s="238" t="str">
        <x:f>IF(O9="","대기",IF(R9&gt;0,"5개 이상",IF(Q9&gt;0,"4개 적중",IF(P9&gt;0,"3개 적중",""))))</x:f>
      </x:c>
    </x:row>
    <x:row r="10">
      <x:c r="A10" s="236" t="n">
        <x:v>1234</x:v>
      </x:c>
      <x:c r="B10" s="237" t="str">
        <x:v>2026-07-25</x:v>
      </x:c>
      <x:c r="C10" s="237" t="str">
        <x:v>대기</x:v>
      </x:c>
      <x:c r="D10" s="237"/>
      <x:c r="E10" s="237"/>
      <x:c r="F10" s="237"/>
      <x:c r="G10" s="237"/>
      <x:c r="H10" s="237"/>
      <x:c r="I10" s="237"/>
      <x:c r="J10" s="237" t="str">
        <x:f>IF(COUNTA($D10:$I10)&lt;6,"",COUNTIF($D10:$I10,'공식 5세트'!$B$2)+COUNTIF($D10:$I10,'공식 5세트'!$C$2)+COUNTIF($D10:$I10,'공식 5세트'!$D$2)+COUNTIF($D10:$I10,'공식 5세트'!$E$2)+COUNTIF($D10:$I10,'공식 5세트'!$F$2)+COUNTIF($D10:$I10,'공식 5세트'!$G$2))</x:f>
      </x:c>
      <x:c r="K10" s="237" t="str">
        <x:f>IF(COUNTA($D10:$I10)&lt;6,"",COUNTIF($D10:$I10,'공식 5세트'!$B$3)+COUNTIF($D10:$I10,'공식 5세트'!$C$3)+COUNTIF($D10:$I10,'공식 5세트'!$D$3)+COUNTIF($D10:$I10,'공식 5세트'!$E$3)+COUNTIF($D10:$I10,'공식 5세트'!$F$3)+COUNTIF($D10:$I10,'공식 5세트'!$G$3))</x:f>
      </x:c>
      <x:c r="L10" s="237" t="str">
        <x:f>IF(COUNTA($D10:$I10)&lt;6,"",COUNTIF($D10:$I10,'공식 5세트'!$B$4)+COUNTIF($D10:$I10,'공식 5세트'!$C$4)+COUNTIF($D10:$I10,'공식 5세트'!$D$4)+COUNTIF($D10:$I10,'공식 5세트'!$E$4)+COUNTIF($D10:$I10,'공식 5세트'!$F$4)+COUNTIF($D10:$I10,'공식 5세트'!$G$4))</x:f>
      </x:c>
      <x:c r="M10" s="237" t="str">
        <x:f>IF(COUNTA($D10:$I10)&lt;6,"",COUNTIF($D10:$I10,'공식 5세트'!$B$5)+COUNTIF($D10:$I10,'공식 5세트'!$C$5)+COUNTIF($D10:$I10,'공식 5세트'!$D$5)+COUNTIF($D10:$I10,'공식 5세트'!$E$5)+COUNTIF($D10:$I10,'공식 5세트'!$F$5)+COUNTIF($D10:$I10,'공식 5세트'!$G$5))</x:f>
      </x:c>
      <x:c r="N10" s="237" t="str">
        <x:f>IF(COUNTA($D10:$I10)&lt;6,"",COUNTIF($D10:$I10,'공식 5세트'!$B$6)+COUNTIF($D10:$I10,'공식 5세트'!$C$6)+COUNTIF($D10:$I10,'공식 5세트'!$D$6)+COUNTIF($D10:$I10,'공식 5세트'!$E$6)+COUNTIF($D10:$I10,'공식 5세트'!$F$6)+COUNTIF($D10:$I10,'공식 5세트'!$G$6))</x:f>
      </x:c>
      <x:c r="O10" s="237" t="str">
        <x:f>IF(COUNTA($D10:$I10)&lt;6,"",MAX(J10:N10))</x:f>
      </x:c>
      <x:c r="P10" s="237" t="str">
        <x:f>IF(O10="","",COUNTIF(J10:N10,"&gt;=3"))</x:f>
      </x:c>
      <x:c r="Q10" s="237" t="str">
        <x:f>IF(O10="","",COUNTIF(J10:N10,"&gt;=4"))</x:f>
      </x:c>
      <x:c r="R10" s="237" t="str">
        <x:f>IF(O10="","",COUNTIF(J10:N10,"&gt;=5"))</x:f>
      </x:c>
      <x:c r="S10" s="238" t="str">
        <x:f>IF(O10="","대기",IF(R10&gt;0,"5개 이상",IF(Q10&gt;0,"4개 적중",IF(P10&gt;0,"3개 적중",""))))</x:f>
        <x:v>대기</x:v>
      </x:c>
    </x:row>
    <x:row r="11">
      <x:c r="A11" s="236" t="n">
        <x:v>1235</x:v>
      </x:c>
      <x:c r="B11" s="237" t="str">
        <x:v>2026-08-01</x:v>
      </x:c>
      <x:c r="C11" s="237" t="str">
        <x:v>대기</x:v>
      </x:c>
      <x:c r="D11" s="237"/>
      <x:c r="E11" s="237"/>
      <x:c r="F11" s="237"/>
      <x:c r="G11" s="237"/>
      <x:c r="H11" s="237"/>
      <x:c r="I11" s="237"/>
      <x:c r="J11" s="237" t="str">
        <x:f>IF(COUNTA($D11:$I11)&lt;6,"",COUNTIF($D11:$I11,'공식 5세트'!$B$2)+COUNTIF($D11:$I11,'공식 5세트'!$C$2)+COUNTIF($D11:$I11,'공식 5세트'!$D$2)+COUNTIF($D11:$I11,'공식 5세트'!$E$2)+COUNTIF($D11:$I11,'공식 5세트'!$F$2)+COUNTIF($D11:$I11,'공식 5세트'!$G$2))</x:f>
      </x:c>
      <x:c r="K11" s="237" t="str">
        <x:f>IF(COUNTA($D11:$I11)&lt;6,"",COUNTIF($D11:$I11,'공식 5세트'!$B$3)+COUNTIF($D11:$I11,'공식 5세트'!$C$3)+COUNTIF($D11:$I11,'공식 5세트'!$D$3)+COUNTIF($D11:$I11,'공식 5세트'!$E$3)+COUNTIF($D11:$I11,'공식 5세트'!$F$3)+COUNTIF($D11:$I11,'공식 5세트'!$G$3))</x:f>
      </x:c>
      <x:c r="L11" s="237" t="str">
        <x:f>IF(COUNTA($D11:$I11)&lt;6,"",COUNTIF($D11:$I11,'공식 5세트'!$B$4)+COUNTIF($D11:$I11,'공식 5세트'!$C$4)+COUNTIF($D11:$I11,'공식 5세트'!$D$4)+COUNTIF($D11:$I11,'공식 5세트'!$E$4)+COUNTIF($D11:$I11,'공식 5세트'!$F$4)+COUNTIF($D11:$I11,'공식 5세트'!$G$4))</x:f>
      </x:c>
      <x:c r="M11" s="237" t="str">
        <x:f>IF(COUNTA($D11:$I11)&lt;6,"",COUNTIF($D11:$I11,'공식 5세트'!$B$5)+COUNTIF($D11:$I11,'공식 5세트'!$C$5)+COUNTIF($D11:$I11,'공식 5세트'!$D$5)+COUNTIF($D11:$I11,'공식 5세트'!$E$5)+COUNTIF($D11:$I11,'공식 5세트'!$F$5)+COUNTIF($D11:$I11,'공식 5세트'!$G$5))</x:f>
      </x:c>
      <x:c r="N11" s="237" t="str">
        <x:f>IF(COUNTA($D11:$I11)&lt;6,"",COUNTIF($D11:$I11,'공식 5세트'!$B$6)+COUNTIF($D11:$I11,'공식 5세트'!$C$6)+COUNTIF($D11:$I11,'공식 5세트'!$D$6)+COUNTIF($D11:$I11,'공식 5세트'!$E$6)+COUNTIF($D11:$I11,'공식 5세트'!$F$6)+COUNTIF($D11:$I11,'공식 5세트'!$G$6))</x:f>
      </x:c>
      <x:c r="O11" s="237" t="str">
        <x:f>IF(COUNTA($D11:$I11)&lt;6,"",MAX(J11:N11))</x:f>
      </x:c>
      <x:c r="P11" s="237" t="str">
        <x:f>IF(O11="","",COUNTIF(J11:N11,"&gt;=3"))</x:f>
      </x:c>
      <x:c r="Q11" s="237" t="str">
        <x:f>IF(O11="","",COUNTIF(J11:N11,"&gt;=4"))</x:f>
      </x:c>
      <x:c r="R11" s="237" t="str">
        <x:f>IF(O11="","",COUNTIF(J11:N11,"&gt;=5"))</x:f>
      </x:c>
      <x:c r="S11" s="238" t="str">
        <x:f>IF(O11="","대기",IF(R11&gt;0,"5개 이상",IF(Q11&gt;0,"4개 적중",IF(P11&gt;0,"3개 적중",""))))</x:f>
        <x:v>대기</x:v>
      </x:c>
    </x:row>
    <x:row r="12">
      <x:c r="A12" s="236" t="n">
        <x:v>1236</x:v>
      </x:c>
      <x:c r="B12" s="237" t="str">
        <x:v>2026-08-08</x:v>
      </x:c>
      <x:c r="C12" s="237" t="str">
        <x:v>대기</x:v>
      </x:c>
      <x:c r="D12" s="237"/>
      <x:c r="E12" s="237"/>
      <x:c r="F12" s="237"/>
      <x:c r="G12" s="237"/>
      <x:c r="H12" s="237"/>
      <x:c r="I12" s="237"/>
      <x:c r="J12" s="237" t="str">
        <x:f>IF(COUNTA($D12:$I12)&lt;6,"",COUNTIF($D12:$I12,'공식 5세트'!$B$2)+COUNTIF($D12:$I12,'공식 5세트'!$C$2)+COUNTIF($D12:$I12,'공식 5세트'!$D$2)+COUNTIF($D12:$I12,'공식 5세트'!$E$2)+COUNTIF($D12:$I12,'공식 5세트'!$F$2)+COUNTIF($D12:$I12,'공식 5세트'!$G$2))</x:f>
      </x:c>
      <x:c r="K12" s="237" t="str">
        <x:f>IF(COUNTA($D12:$I12)&lt;6,"",COUNTIF($D12:$I12,'공식 5세트'!$B$3)+COUNTIF($D12:$I12,'공식 5세트'!$C$3)+COUNTIF($D12:$I12,'공식 5세트'!$D$3)+COUNTIF($D12:$I12,'공식 5세트'!$E$3)+COUNTIF($D12:$I12,'공식 5세트'!$F$3)+COUNTIF($D12:$I12,'공식 5세트'!$G$3))</x:f>
      </x:c>
      <x:c r="L12" s="237" t="str">
        <x:f>IF(COUNTA($D12:$I12)&lt;6,"",COUNTIF($D12:$I12,'공식 5세트'!$B$4)+COUNTIF($D12:$I12,'공식 5세트'!$C$4)+COUNTIF($D12:$I12,'공식 5세트'!$D$4)+COUNTIF($D12:$I12,'공식 5세트'!$E$4)+COUNTIF($D12:$I12,'공식 5세트'!$F$4)+COUNTIF($D12:$I12,'공식 5세트'!$G$4))</x:f>
      </x:c>
      <x:c r="M12" s="237" t="str">
        <x:f>IF(COUNTA($D12:$I12)&lt;6,"",COUNTIF($D12:$I12,'공식 5세트'!$B$5)+COUNTIF($D12:$I12,'공식 5세트'!$C$5)+COUNTIF($D12:$I12,'공식 5세트'!$D$5)+COUNTIF($D12:$I12,'공식 5세트'!$E$5)+COUNTIF($D12:$I12,'공식 5세트'!$F$5)+COUNTIF($D12:$I12,'공식 5세트'!$G$5))</x:f>
      </x:c>
      <x:c r="N12" s="237" t="str">
        <x:f>IF(COUNTA($D12:$I12)&lt;6,"",COUNTIF($D12:$I12,'공식 5세트'!$B$6)+COUNTIF($D12:$I12,'공식 5세트'!$C$6)+COUNTIF($D12:$I12,'공식 5세트'!$D$6)+COUNTIF($D12:$I12,'공식 5세트'!$E$6)+COUNTIF($D12:$I12,'공식 5세트'!$F$6)+COUNTIF($D12:$I12,'공식 5세트'!$G$6))</x:f>
      </x:c>
      <x:c r="O12" s="237" t="str">
        <x:f>IF(COUNTA($D12:$I12)&lt;6,"",MAX(J12:N12))</x:f>
      </x:c>
      <x:c r="P12" s="237" t="str">
        <x:f>IF(O12="","",COUNTIF(J12:N12,"&gt;=3"))</x:f>
      </x:c>
      <x:c r="Q12" s="237" t="str">
        <x:f>IF(O12="","",COUNTIF(J12:N12,"&gt;=4"))</x:f>
      </x:c>
      <x:c r="R12" s="237" t="str">
        <x:f>IF(O12="","",COUNTIF(J12:N12,"&gt;=5"))</x:f>
      </x:c>
      <x:c r="S12" s="238" t="str">
        <x:f>IF(O12="","대기",IF(R12&gt;0,"5개 이상",IF(Q12&gt;0,"4개 적중",IF(P12&gt;0,"3개 적중",""))))</x:f>
        <x:v>대기</x:v>
      </x:c>
    </x:row>
    <x:row r="13">
      <x:c r="A13" s="236" t="n">
        <x:v>1237</x:v>
      </x:c>
      <x:c r="B13" s="237" t="str">
        <x:v>2026-08-15</x:v>
      </x:c>
      <x:c r="C13" s="237" t="str">
        <x:v>대기</x:v>
      </x:c>
      <x:c r="D13" s="237"/>
      <x:c r="E13" s="237"/>
      <x:c r="F13" s="237"/>
      <x:c r="G13" s="237"/>
      <x:c r="H13" s="237"/>
      <x:c r="I13" s="237"/>
      <x:c r="J13" s="237" t="str">
        <x:f>IF(COUNTA($D13:$I13)&lt;6,"",COUNTIF($D13:$I13,'공식 5세트'!$B$2)+COUNTIF($D13:$I13,'공식 5세트'!$C$2)+COUNTIF($D13:$I13,'공식 5세트'!$D$2)+COUNTIF($D13:$I13,'공식 5세트'!$E$2)+COUNTIF($D13:$I13,'공식 5세트'!$F$2)+COUNTIF($D13:$I13,'공식 5세트'!$G$2))</x:f>
      </x:c>
      <x:c r="K13" s="237" t="str">
        <x:f>IF(COUNTA($D13:$I13)&lt;6,"",COUNTIF($D13:$I13,'공식 5세트'!$B$3)+COUNTIF($D13:$I13,'공식 5세트'!$C$3)+COUNTIF($D13:$I13,'공식 5세트'!$D$3)+COUNTIF($D13:$I13,'공식 5세트'!$E$3)+COUNTIF($D13:$I13,'공식 5세트'!$F$3)+COUNTIF($D13:$I13,'공식 5세트'!$G$3))</x:f>
      </x:c>
      <x:c r="L13" s="237" t="str">
        <x:f>IF(COUNTA($D13:$I13)&lt;6,"",COUNTIF($D13:$I13,'공식 5세트'!$B$4)+COUNTIF($D13:$I13,'공식 5세트'!$C$4)+COUNTIF($D13:$I13,'공식 5세트'!$D$4)+COUNTIF($D13:$I13,'공식 5세트'!$E$4)+COUNTIF($D13:$I13,'공식 5세트'!$F$4)+COUNTIF($D13:$I13,'공식 5세트'!$G$4))</x:f>
      </x:c>
      <x:c r="M13" s="237" t="str">
        <x:f>IF(COUNTA($D13:$I13)&lt;6,"",COUNTIF($D13:$I13,'공식 5세트'!$B$5)+COUNTIF($D13:$I13,'공식 5세트'!$C$5)+COUNTIF($D13:$I13,'공식 5세트'!$D$5)+COUNTIF($D13:$I13,'공식 5세트'!$E$5)+COUNTIF($D13:$I13,'공식 5세트'!$F$5)+COUNTIF($D13:$I13,'공식 5세트'!$G$5))</x:f>
      </x:c>
      <x:c r="N13" s="237" t="str">
        <x:f>IF(COUNTA($D13:$I13)&lt;6,"",COUNTIF($D13:$I13,'공식 5세트'!$B$6)+COUNTIF($D13:$I13,'공식 5세트'!$C$6)+COUNTIF($D13:$I13,'공식 5세트'!$D$6)+COUNTIF($D13:$I13,'공식 5세트'!$E$6)+COUNTIF($D13:$I13,'공식 5세트'!$F$6)+COUNTIF($D13:$I13,'공식 5세트'!$G$6))</x:f>
      </x:c>
      <x:c r="O13" s="237" t="str">
        <x:f>IF(COUNTA($D13:$I13)&lt;6,"",MAX(J13:N13))</x:f>
      </x:c>
      <x:c r="P13" s="237" t="str">
        <x:f>IF(O13="","",COUNTIF(J13:N13,"&gt;=3"))</x:f>
      </x:c>
      <x:c r="Q13" s="237" t="str">
        <x:f>IF(O13="","",COUNTIF(J13:N13,"&gt;=4"))</x:f>
      </x:c>
      <x:c r="R13" s="237" t="str">
        <x:f>IF(O13="","",COUNTIF(J13:N13,"&gt;=5"))</x:f>
      </x:c>
      <x:c r="S13" s="238" t="str">
        <x:f>IF(O13="","대기",IF(R13&gt;0,"5개 이상",IF(Q13&gt;0,"4개 적중",IF(P13&gt;0,"3개 적중",""))))</x:f>
        <x:v>대기</x:v>
      </x:c>
    </x:row>
    <x:row r="14">
      <x:c r="A14" s="236" t="n">
        <x:v>1238</x:v>
      </x:c>
      <x:c r="B14" s="237" t="str">
        <x:v>2026-08-22</x:v>
      </x:c>
      <x:c r="C14" s="237" t="str">
        <x:v>대기</x:v>
      </x:c>
      <x:c r="D14" s="237"/>
      <x:c r="E14" s="237"/>
      <x:c r="F14" s="237"/>
      <x:c r="G14" s="237"/>
      <x:c r="H14" s="237"/>
      <x:c r="I14" s="237"/>
      <x:c r="J14" s="237" t="str">
        <x:f>IF(COUNTA($D14:$I14)&lt;6,"",COUNTIF($D14:$I14,'공식 5세트'!$B$2)+COUNTIF($D14:$I14,'공식 5세트'!$C$2)+COUNTIF($D14:$I14,'공식 5세트'!$D$2)+COUNTIF($D14:$I14,'공식 5세트'!$E$2)+COUNTIF($D14:$I14,'공식 5세트'!$F$2)+COUNTIF($D14:$I14,'공식 5세트'!$G$2))</x:f>
      </x:c>
      <x:c r="K14" s="237" t="str">
        <x:f>IF(COUNTA($D14:$I14)&lt;6,"",COUNTIF($D14:$I14,'공식 5세트'!$B$3)+COUNTIF($D14:$I14,'공식 5세트'!$C$3)+COUNTIF($D14:$I14,'공식 5세트'!$D$3)+COUNTIF($D14:$I14,'공식 5세트'!$E$3)+COUNTIF($D14:$I14,'공식 5세트'!$F$3)+COUNTIF($D14:$I14,'공식 5세트'!$G$3))</x:f>
      </x:c>
      <x:c r="L14" s="237" t="str">
        <x:f>IF(COUNTA($D14:$I14)&lt;6,"",COUNTIF($D14:$I14,'공식 5세트'!$B$4)+COUNTIF($D14:$I14,'공식 5세트'!$C$4)+COUNTIF($D14:$I14,'공식 5세트'!$D$4)+COUNTIF($D14:$I14,'공식 5세트'!$E$4)+COUNTIF($D14:$I14,'공식 5세트'!$F$4)+COUNTIF($D14:$I14,'공식 5세트'!$G$4))</x:f>
      </x:c>
      <x:c r="M14" s="237" t="str">
        <x:f>IF(COUNTA($D14:$I14)&lt;6,"",COUNTIF($D14:$I14,'공식 5세트'!$B$5)+COUNTIF($D14:$I14,'공식 5세트'!$C$5)+COUNTIF($D14:$I14,'공식 5세트'!$D$5)+COUNTIF($D14:$I14,'공식 5세트'!$E$5)+COUNTIF($D14:$I14,'공식 5세트'!$F$5)+COUNTIF($D14:$I14,'공식 5세트'!$G$5))</x:f>
      </x:c>
      <x:c r="N14" s="237" t="str">
        <x:f>IF(COUNTA($D14:$I14)&lt;6,"",COUNTIF($D14:$I14,'공식 5세트'!$B$6)+COUNTIF($D14:$I14,'공식 5세트'!$C$6)+COUNTIF($D14:$I14,'공식 5세트'!$D$6)+COUNTIF($D14:$I14,'공식 5세트'!$E$6)+COUNTIF($D14:$I14,'공식 5세트'!$F$6)+COUNTIF($D14:$I14,'공식 5세트'!$G$6))</x:f>
      </x:c>
      <x:c r="O14" s="237" t="str">
        <x:f>IF(COUNTA($D14:$I14)&lt;6,"",MAX(J14:N14))</x:f>
      </x:c>
      <x:c r="P14" s="237" t="str">
        <x:f>IF(O14="","",COUNTIF(J14:N14,"&gt;=3"))</x:f>
      </x:c>
      <x:c r="Q14" s="237" t="str">
        <x:f>IF(O14="","",COUNTIF(J14:N14,"&gt;=4"))</x:f>
      </x:c>
      <x:c r="R14" s="237" t="str">
        <x:f>IF(O14="","",COUNTIF(J14:N14,"&gt;=5"))</x:f>
      </x:c>
      <x:c r="S14" s="238" t="str">
        <x:f>IF(O14="","대기",IF(R14&gt;0,"5개 이상",IF(Q14&gt;0,"4개 적중",IF(P14&gt;0,"3개 적중",""))))</x:f>
        <x:v>대기</x:v>
      </x:c>
    </x:row>
    <x:row r="15">
      <x:c r="A15" s="236" t="n">
        <x:v>1239</x:v>
      </x:c>
      <x:c r="B15" s="237" t="str">
        <x:v>2026-08-29</x:v>
      </x:c>
      <x:c r="C15" s="237" t="str">
        <x:v>대기</x:v>
      </x:c>
      <x:c r="D15" s="237"/>
      <x:c r="E15" s="237"/>
      <x:c r="F15" s="237"/>
      <x:c r="G15" s="237"/>
      <x:c r="H15" s="237"/>
      <x:c r="I15" s="237"/>
      <x:c r="J15" s="237" t="str">
        <x:f>IF(COUNTA($D15:$I15)&lt;6,"",COUNTIF($D15:$I15,'공식 5세트'!$B$2)+COUNTIF($D15:$I15,'공식 5세트'!$C$2)+COUNTIF($D15:$I15,'공식 5세트'!$D$2)+COUNTIF($D15:$I15,'공식 5세트'!$E$2)+COUNTIF($D15:$I15,'공식 5세트'!$F$2)+COUNTIF($D15:$I15,'공식 5세트'!$G$2))</x:f>
      </x:c>
      <x:c r="K15" s="237" t="str">
        <x:f>IF(COUNTA($D15:$I15)&lt;6,"",COUNTIF($D15:$I15,'공식 5세트'!$B$3)+COUNTIF($D15:$I15,'공식 5세트'!$C$3)+COUNTIF($D15:$I15,'공식 5세트'!$D$3)+COUNTIF($D15:$I15,'공식 5세트'!$E$3)+COUNTIF($D15:$I15,'공식 5세트'!$F$3)+COUNTIF($D15:$I15,'공식 5세트'!$G$3))</x:f>
      </x:c>
      <x:c r="L15" s="237" t="str">
        <x:f>IF(COUNTA($D15:$I15)&lt;6,"",COUNTIF($D15:$I15,'공식 5세트'!$B$4)+COUNTIF($D15:$I15,'공식 5세트'!$C$4)+COUNTIF($D15:$I15,'공식 5세트'!$D$4)+COUNTIF($D15:$I15,'공식 5세트'!$E$4)+COUNTIF($D15:$I15,'공식 5세트'!$F$4)+COUNTIF($D15:$I15,'공식 5세트'!$G$4))</x:f>
      </x:c>
      <x:c r="M15" s="237" t="str">
        <x:f>IF(COUNTA($D15:$I15)&lt;6,"",COUNTIF($D15:$I15,'공식 5세트'!$B$5)+COUNTIF($D15:$I15,'공식 5세트'!$C$5)+COUNTIF($D15:$I15,'공식 5세트'!$D$5)+COUNTIF($D15:$I15,'공식 5세트'!$E$5)+COUNTIF($D15:$I15,'공식 5세트'!$F$5)+COUNTIF($D15:$I15,'공식 5세트'!$G$5))</x:f>
      </x:c>
      <x:c r="N15" s="237" t="str">
        <x:f>IF(COUNTA($D15:$I15)&lt;6,"",COUNTIF($D15:$I15,'공식 5세트'!$B$6)+COUNTIF($D15:$I15,'공식 5세트'!$C$6)+COUNTIF($D15:$I15,'공식 5세트'!$D$6)+COUNTIF($D15:$I15,'공식 5세트'!$E$6)+COUNTIF($D15:$I15,'공식 5세트'!$F$6)+COUNTIF($D15:$I15,'공식 5세트'!$G$6))</x:f>
      </x:c>
      <x:c r="O15" s="237" t="str">
        <x:f>IF(COUNTA($D15:$I15)&lt;6,"",MAX(J15:N15))</x:f>
      </x:c>
      <x:c r="P15" s="237" t="str">
        <x:f>IF(O15="","",COUNTIF(J15:N15,"&gt;=3"))</x:f>
      </x:c>
      <x:c r="Q15" s="237" t="str">
        <x:f>IF(O15="","",COUNTIF(J15:N15,"&gt;=4"))</x:f>
      </x:c>
      <x:c r="R15" s="237" t="str">
        <x:f>IF(O15="","",COUNTIF(J15:N15,"&gt;=5"))</x:f>
      </x:c>
      <x:c r="S15" s="238" t="str">
        <x:f>IF(O15="","대기",IF(R15&gt;0,"5개 이상",IF(Q15&gt;0,"4개 적중",IF(P15&gt;0,"3개 적중",""))))</x:f>
        <x:v>대기</x:v>
      </x:c>
    </x:row>
    <x:row r="16">
      <x:c r="A16" s="236" t="n">
        <x:v>1240</x:v>
      </x:c>
      <x:c r="B16" s="237" t="str">
        <x:v>2026-09-05</x:v>
      </x:c>
      <x:c r="C16" s="237" t="str">
        <x:v>대기</x:v>
      </x:c>
      <x:c r="D16" s="237"/>
      <x:c r="E16" s="237"/>
      <x:c r="F16" s="237"/>
      <x:c r="G16" s="237"/>
      <x:c r="H16" s="237"/>
      <x:c r="I16" s="237"/>
      <x:c r="J16" s="237" t="str">
        <x:f>IF(COUNTA($D16:$I16)&lt;6,"",COUNTIF($D16:$I16,'공식 5세트'!$B$2)+COUNTIF($D16:$I16,'공식 5세트'!$C$2)+COUNTIF($D16:$I16,'공식 5세트'!$D$2)+COUNTIF($D16:$I16,'공식 5세트'!$E$2)+COUNTIF($D16:$I16,'공식 5세트'!$F$2)+COUNTIF($D16:$I16,'공식 5세트'!$G$2))</x:f>
      </x:c>
      <x:c r="K16" s="237" t="str">
        <x:f>IF(COUNTA($D16:$I16)&lt;6,"",COUNTIF($D16:$I16,'공식 5세트'!$B$3)+COUNTIF($D16:$I16,'공식 5세트'!$C$3)+COUNTIF($D16:$I16,'공식 5세트'!$D$3)+COUNTIF($D16:$I16,'공식 5세트'!$E$3)+COUNTIF($D16:$I16,'공식 5세트'!$F$3)+COUNTIF($D16:$I16,'공식 5세트'!$G$3))</x:f>
      </x:c>
      <x:c r="L16" s="237" t="str">
        <x:f>IF(COUNTA($D16:$I16)&lt;6,"",COUNTIF($D16:$I16,'공식 5세트'!$B$4)+COUNTIF($D16:$I16,'공식 5세트'!$C$4)+COUNTIF($D16:$I16,'공식 5세트'!$D$4)+COUNTIF($D16:$I16,'공식 5세트'!$E$4)+COUNTIF($D16:$I16,'공식 5세트'!$F$4)+COUNTIF($D16:$I16,'공식 5세트'!$G$4))</x:f>
      </x:c>
      <x:c r="M16" s="237" t="str">
        <x:f>IF(COUNTA($D16:$I16)&lt;6,"",COUNTIF($D16:$I16,'공식 5세트'!$B$5)+COUNTIF($D16:$I16,'공식 5세트'!$C$5)+COUNTIF($D16:$I16,'공식 5세트'!$D$5)+COUNTIF($D16:$I16,'공식 5세트'!$E$5)+COUNTIF($D16:$I16,'공식 5세트'!$F$5)+COUNTIF($D16:$I16,'공식 5세트'!$G$5))</x:f>
      </x:c>
      <x:c r="N16" s="237" t="str">
        <x:f>IF(COUNTA($D16:$I16)&lt;6,"",COUNTIF($D16:$I16,'공식 5세트'!$B$6)+COUNTIF($D16:$I16,'공식 5세트'!$C$6)+COUNTIF($D16:$I16,'공식 5세트'!$D$6)+COUNTIF($D16:$I16,'공식 5세트'!$E$6)+COUNTIF($D16:$I16,'공식 5세트'!$F$6)+COUNTIF($D16:$I16,'공식 5세트'!$G$6))</x:f>
      </x:c>
      <x:c r="O16" s="237" t="str">
        <x:f>IF(COUNTA($D16:$I16)&lt;6,"",MAX(J16:N16))</x:f>
      </x:c>
      <x:c r="P16" s="237" t="str">
        <x:f>IF(O16="","",COUNTIF(J16:N16,"&gt;=3"))</x:f>
      </x:c>
      <x:c r="Q16" s="237" t="str">
        <x:f>IF(O16="","",COUNTIF(J16:N16,"&gt;=4"))</x:f>
      </x:c>
      <x:c r="R16" s="237" t="str">
        <x:f>IF(O16="","",COUNTIF(J16:N16,"&gt;=5"))</x:f>
      </x:c>
      <x:c r="S16" s="238" t="str">
        <x:f>IF(O16="","대기",IF(R16&gt;0,"5개 이상",IF(Q16&gt;0,"4개 적중",IF(P16&gt;0,"3개 적중",""))))</x:f>
        <x:v>대기</x:v>
      </x:c>
    </x:row>
    <x:row r="17">
      <x:c r="A17" s="236" t="n">
        <x:v>1241</x:v>
      </x:c>
      <x:c r="B17" s="237" t="str">
        <x:v>2026-09-12</x:v>
      </x:c>
      <x:c r="C17" s="237" t="str">
        <x:v>대기</x:v>
      </x:c>
      <x:c r="D17" s="237"/>
      <x:c r="E17" s="237"/>
      <x:c r="F17" s="237"/>
      <x:c r="G17" s="237"/>
      <x:c r="H17" s="237"/>
      <x:c r="I17" s="237"/>
      <x:c r="J17" s="237" t="str">
        <x:f>IF(COUNTA($D17:$I17)&lt;6,"",COUNTIF($D17:$I17,'공식 5세트'!$B$2)+COUNTIF($D17:$I17,'공식 5세트'!$C$2)+COUNTIF($D17:$I17,'공식 5세트'!$D$2)+COUNTIF($D17:$I17,'공식 5세트'!$E$2)+COUNTIF($D17:$I17,'공식 5세트'!$F$2)+COUNTIF($D17:$I17,'공식 5세트'!$G$2))</x:f>
      </x:c>
      <x:c r="K17" s="237" t="str">
        <x:f>IF(COUNTA($D17:$I17)&lt;6,"",COUNTIF($D17:$I17,'공식 5세트'!$B$3)+COUNTIF($D17:$I17,'공식 5세트'!$C$3)+COUNTIF($D17:$I17,'공식 5세트'!$D$3)+COUNTIF($D17:$I17,'공식 5세트'!$E$3)+COUNTIF($D17:$I17,'공식 5세트'!$F$3)+COUNTIF($D17:$I17,'공식 5세트'!$G$3))</x:f>
      </x:c>
      <x:c r="L17" s="237" t="str">
        <x:f>IF(COUNTA($D17:$I17)&lt;6,"",COUNTIF($D17:$I17,'공식 5세트'!$B$4)+COUNTIF($D17:$I17,'공식 5세트'!$C$4)+COUNTIF($D17:$I17,'공식 5세트'!$D$4)+COUNTIF($D17:$I17,'공식 5세트'!$E$4)+COUNTIF($D17:$I17,'공식 5세트'!$F$4)+COUNTIF($D17:$I17,'공식 5세트'!$G$4))</x:f>
      </x:c>
      <x:c r="M17" s="237" t="str">
        <x:f>IF(COUNTA($D17:$I17)&lt;6,"",COUNTIF($D17:$I17,'공식 5세트'!$B$5)+COUNTIF($D17:$I17,'공식 5세트'!$C$5)+COUNTIF($D17:$I17,'공식 5세트'!$D$5)+COUNTIF($D17:$I17,'공식 5세트'!$E$5)+COUNTIF($D17:$I17,'공식 5세트'!$F$5)+COUNTIF($D17:$I17,'공식 5세트'!$G$5))</x:f>
      </x:c>
      <x:c r="N17" s="237" t="str">
        <x:f>IF(COUNTA($D17:$I17)&lt;6,"",COUNTIF($D17:$I17,'공식 5세트'!$B$6)+COUNTIF($D17:$I17,'공식 5세트'!$C$6)+COUNTIF($D17:$I17,'공식 5세트'!$D$6)+COUNTIF($D17:$I17,'공식 5세트'!$E$6)+COUNTIF($D17:$I17,'공식 5세트'!$F$6)+COUNTIF($D17:$I17,'공식 5세트'!$G$6))</x:f>
      </x:c>
      <x:c r="O17" s="237" t="str">
        <x:f>IF(COUNTA($D17:$I17)&lt;6,"",MAX(J17:N17))</x:f>
      </x:c>
      <x:c r="P17" s="237" t="str">
        <x:f>IF(O17="","",COUNTIF(J17:N17,"&gt;=3"))</x:f>
      </x:c>
      <x:c r="Q17" s="237" t="str">
        <x:f>IF(O17="","",COUNTIF(J17:N17,"&gt;=4"))</x:f>
      </x:c>
      <x:c r="R17" s="237" t="str">
        <x:f>IF(O17="","",COUNTIF(J17:N17,"&gt;=5"))</x:f>
      </x:c>
      <x:c r="S17" s="238" t="str">
        <x:f>IF(O17="","대기",IF(R17&gt;0,"5개 이상",IF(Q17&gt;0,"4개 적중",IF(P17&gt;0,"3개 적중",""))))</x:f>
        <x:v>대기</x:v>
      </x:c>
    </x:row>
    <x:row r="18">
      <x:c r="A18" s="236" t="n">
        <x:v>1242</x:v>
      </x:c>
      <x:c r="B18" s="237" t="str">
        <x:v>2026-09-19</x:v>
      </x:c>
      <x:c r="C18" s="237" t="str">
        <x:v>대기</x:v>
      </x:c>
      <x:c r="D18" s="237"/>
      <x:c r="E18" s="237"/>
      <x:c r="F18" s="237"/>
      <x:c r="G18" s="237"/>
      <x:c r="H18" s="237"/>
      <x:c r="I18" s="237"/>
      <x:c r="J18" s="237" t="str">
        <x:f>IF(COUNTA($D18:$I18)&lt;6,"",COUNTIF($D18:$I18,'공식 5세트'!$B$2)+COUNTIF($D18:$I18,'공식 5세트'!$C$2)+COUNTIF($D18:$I18,'공식 5세트'!$D$2)+COUNTIF($D18:$I18,'공식 5세트'!$E$2)+COUNTIF($D18:$I18,'공식 5세트'!$F$2)+COUNTIF($D18:$I18,'공식 5세트'!$G$2))</x:f>
      </x:c>
      <x:c r="K18" s="237" t="str">
        <x:f>IF(COUNTA($D18:$I18)&lt;6,"",COUNTIF($D18:$I18,'공식 5세트'!$B$3)+COUNTIF($D18:$I18,'공식 5세트'!$C$3)+COUNTIF($D18:$I18,'공식 5세트'!$D$3)+COUNTIF($D18:$I18,'공식 5세트'!$E$3)+COUNTIF($D18:$I18,'공식 5세트'!$F$3)+COUNTIF($D18:$I18,'공식 5세트'!$G$3))</x:f>
      </x:c>
      <x:c r="L18" s="237" t="str">
        <x:f>IF(COUNTA($D18:$I18)&lt;6,"",COUNTIF($D18:$I18,'공식 5세트'!$B$4)+COUNTIF($D18:$I18,'공식 5세트'!$C$4)+COUNTIF($D18:$I18,'공식 5세트'!$D$4)+COUNTIF($D18:$I18,'공식 5세트'!$E$4)+COUNTIF($D18:$I18,'공식 5세트'!$F$4)+COUNTIF($D18:$I18,'공식 5세트'!$G$4))</x:f>
      </x:c>
      <x:c r="M18" s="237" t="str">
        <x:f>IF(COUNTA($D18:$I18)&lt;6,"",COUNTIF($D18:$I18,'공식 5세트'!$B$5)+COUNTIF($D18:$I18,'공식 5세트'!$C$5)+COUNTIF($D18:$I18,'공식 5세트'!$D$5)+COUNTIF($D18:$I18,'공식 5세트'!$E$5)+COUNTIF($D18:$I18,'공식 5세트'!$F$5)+COUNTIF($D18:$I18,'공식 5세트'!$G$5))</x:f>
      </x:c>
      <x:c r="N18" s="237" t="str">
        <x:f>IF(COUNTA($D18:$I18)&lt;6,"",COUNTIF($D18:$I18,'공식 5세트'!$B$6)+COUNTIF($D18:$I18,'공식 5세트'!$C$6)+COUNTIF($D18:$I18,'공식 5세트'!$D$6)+COUNTIF($D18:$I18,'공식 5세트'!$E$6)+COUNTIF($D18:$I18,'공식 5세트'!$F$6)+COUNTIF($D18:$I18,'공식 5세트'!$G$6))</x:f>
      </x:c>
      <x:c r="O18" s="237" t="str">
        <x:f>IF(COUNTA($D18:$I18)&lt;6,"",MAX(J18:N18))</x:f>
      </x:c>
      <x:c r="P18" s="237" t="str">
        <x:f>IF(O18="","",COUNTIF(J18:N18,"&gt;=3"))</x:f>
      </x:c>
      <x:c r="Q18" s="237" t="str">
        <x:f>IF(O18="","",COUNTIF(J18:N18,"&gt;=4"))</x:f>
      </x:c>
      <x:c r="R18" s="237" t="str">
        <x:f>IF(O18="","",COUNTIF(J18:N18,"&gt;=5"))</x:f>
      </x:c>
      <x:c r="S18" s="238" t="str">
        <x:f>IF(O18="","대기",IF(R18&gt;0,"5개 이상",IF(Q18&gt;0,"4개 적중",IF(P18&gt;0,"3개 적중",""))))</x:f>
        <x:v>대기</x:v>
      </x:c>
    </x:row>
    <x:row r="19">
      <x:c r="A19" s="236" t="n">
        <x:v>1243</x:v>
      </x:c>
      <x:c r="B19" s="237" t="str">
        <x:v>2026-09-26</x:v>
      </x:c>
      <x:c r="C19" s="237" t="str">
        <x:v>대기</x:v>
      </x:c>
      <x:c r="D19" s="237"/>
      <x:c r="E19" s="237"/>
      <x:c r="F19" s="237"/>
      <x:c r="G19" s="237"/>
      <x:c r="H19" s="237"/>
      <x:c r="I19" s="237"/>
      <x:c r="J19" s="237" t="str">
        <x:f>IF(COUNTA($D19:$I19)&lt;6,"",COUNTIF($D19:$I19,'공식 5세트'!$B$2)+COUNTIF($D19:$I19,'공식 5세트'!$C$2)+COUNTIF($D19:$I19,'공식 5세트'!$D$2)+COUNTIF($D19:$I19,'공식 5세트'!$E$2)+COUNTIF($D19:$I19,'공식 5세트'!$F$2)+COUNTIF($D19:$I19,'공식 5세트'!$G$2))</x:f>
      </x:c>
      <x:c r="K19" s="237" t="str">
        <x:f>IF(COUNTA($D19:$I19)&lt;6,"",COUNTIF($D19:$I19,'공식 5세트'!$B$3)+COUNTIF($D19:$I19,'공식 5세트'!$C$3)+COUNTIF($D19:$I19,'공식 5세트'!$D$3)+COUNTIF($D19:$I19,'공식 5세트'!$E$3)+COUNTIF($D19:$I19,'공식 5세트'!$F$3)+COUNTIF($D19:$I19,'공식 5세트'!$G$3))</x:f>
      </x:c>
      <x:c r="L19" s="237" t="str">
        <x:f>IF(COUNTA($D19:$I19)&lt;6,"",COUNTIF($D19:$I19,'공식 5세트'!$B$4)+COUNTIF($D19:$I19,'공식 5세트'!$C$4)+COUNTIF($D19:$I19,'공식 5세트'!$D$4)+COUNTIF($D19:$I19,'공식 5세트'!$E$4)+COUNTIF($D19:$I19,'공식 5세트'!$F$4)+COUNTIF($D19:$I19,'공식 5세트'!$G$4))</x:f>
      </x:c>
      <x:c r="M19" s="237" t="str">
        <x:f>IF(COUNTA($D19:$I19)&lt;6,"",COUNTIF($D19:$I19,'공식 5세트'!$B$5)+COUNTIF($D19:$I19,'공식 5세트'!$C$5)+COUNTIF($D19:$I19,'공식 5세트'!$D$5)+COUNTIF($D19:$I19,'공식 5세트'!$E$5)+COUNTIF($D19:$I19,'공식 5세트'!$F$5)+COUNTIF($D19:$I19,'공식 5세트'!$G$5))</x:f>
      </x:c>
      <x:c r="N19" s="237" t="str">
        <x:f>IF(COUNTA($D19:$I19)&lt;6,"",COUNTIF($D19:$I19,'공식 5세트'!$B$6)+COUNTIF($D19:$I19,'공식 5세트'!$C$6)+COUNTIF($D19:$I19,'공식 5세트'!$D$6)+COUNTIF($D19:$I19,'공식 5세트'!$E$6)+COUNTIF($D19:$I19,'공식 5세트'!$F$6)+COUNTIF($D19:$I19,'공식 5세트'!$G$6))</x:f>
      </x:c>
      <x:c r="O19" s="237" t="str">
        <x:f>IF(COUNTA($D19:$I19)&lt;6,"",MAX(J19:N19))</x:f>
      </x:c>
      <x:c r="P19" s="237" t="str">
        <x:f>IF(O19="","",COUNTIF(J19:N19,"&gt;=3"))</x:f>
      </x:c>
      <x:c r="Q19" s="237" t="str">
        <x:f>IF(O19="","",COUNTIF(J19:N19,"&gt;=4"))</x:f>
      </x:c>
      <x:c r="R19" s="237" t="str">
        <x:f>IF(O19="","",COUNTIF(J19:N19,"&gt;=5"))</x:f>
      </x:c>
      <x:c r="S19" s="238" t="str">
        <x:f>IF(O19="","대기",IF(R19&gt;0,"5개 이상",IF(Q19&gt;0,"4개 적중",IF(P19&gt;0,"3개 적중",""))))</x:f>
        <x:v>대기</x:v>
      </x:c>
    </x:row>
    <x:row r="20">
      <x:c r="A20" s="236" t="n">
        <x:v>1244</x:v>
      </x:c>
      <x:c r="B20" s="237" t="str">
        <x:v>2026-10-03</x:v>
      </x:c>
      <x:c r="C20" s="237" t="str">
        <x:v>대기</x:v>
      </x:c>
      <x:c r="D20" s="237"/>
      <x:c r="E20" s="237"/>
      <x:c r="F20" s="237"/>
      <x:c r="G20" s="237"/>
      <x:c r="H20" s="237"/>
      <x:c r="I20" s="237"/>
      <x:c r="J20" s="237" t="str">
        <x:f>IF(COUNTA($D20:$I20)&lt;6,"",COUNTIF($D20:$I20,'공식 5세트'!$B$2)+COUNTIF($D20:$I20,'공식 5세트'!$C$2)+COUNTIF($D20:$I20,'공식 5세트'!$D$2)+COUNTIF($D20:$I20,'공식 5세트'!$E$2)+COUNTIF($D20:$I20,'공식 5세트'!$F$2)+COUNTIF($D20:$I20,'공식 5세트'!$G$2))</x:f>
      </x:c>
      <x:c r="K20" s="237" t="str">
        <x:f>IF(COUNTA($D20:$I20)&lt;6,"",COUNTIF($D20:$I20,'공식 5세트'!$B$3)+COUNTIF($D20:$I20,'공식 5세트'!$C$3)+COUNTIF($D20:$I20,'공식 5세트'!$D$3)+COUNTIF($D20:$I20,'공식 5세트'!$E$3)+COUNTIF($D20:$I20,'공식 5세트'!$F$3)+COUNTIF($D20:$I20,'공식 5세트'!$G$3))</x:f>
      </x:c>
      <x:c r="L20" s="237" t="str">
        <x:f>IF(COUNTA($D20:$I20)&lt;6,"",COUNTIF($D20:$I20,'공식 5세트'!$B$4)+COUNTIF($D20:$I20,'공식 5세트'!$C$4)+COUNTIF($D20:$I20,'공식 5세트'!$D$4)+COUNTIF($D20:$I20,'공식 5세트'!$E$4)+COUNTIF($D20:$I20,'공식 5세트'!$F$4)+COUNTIF($D20:$I20,'공식 5세트'!$G$4))</x:f>
      </x:c>
      <x:c r="M20" s="237" t="str">
        <x:f>IF(COUNTA($D20:$I20)&lt;6,"",COUNTIF($D20:$I20,'공식 5세트'!$B$5)+COUNTIF($D20:$I20,'공식 5세트'!$C$5)+COUNTIF($D20:$I20,'공식 5세트'!$D$5)+COUNTIF($D20:$I20,'공식 5세트'!$E$5)+COUNTIF($D20:$I20,'공식 5세트'!$F$5)+COUNTIF($D20:$I20,'공식 5세트'!$G$5))</x:f>
      </x:c>
      <x:c r="N20" s="237" t="str">
        <x:f>IF(COUNTA($D20:$I20)&lt;6,"",COUNTIF($D20:$I20,'공식 5세트'!$B$6)+COUNTIF($D20:$I20,'공식 5세트'!$C$6)+COUNTIF($D20:$I20,'공식 5세트'!$D$6)+COUNTIF($D20:$I20,'공식 5세트'!$E$6)+COUNTIF($D20:$I20,'공식 5세트'!$F$6)+COUNTIF($D20:$I20,'공식 5세트'!$G$6))</x:f>
      </x:c>
      <x:c r="O20" s="237" t="str">
        <x:f>IF(COUNTA($D20:$I20)&lt;6,"",MAX(J20:N20))</x:f>
      </x:c>
      <x:c r="P20" s="237" t="str">
        <x:f>IF(O20="","",COUNTIF(J20:N20,"&gt;=3"))</x:f>
      </x:c>
      <x:c r="Q20" s="237" t="str">
        <x:f>IF(O20="","",COUNTIF(J20:N20,"&gt;=4"))</x:f>
      </x:c>
      <x:c r="R20" s="237" t="str">
        <x:f>IF(O20="","",COUNTIF(J20:N20,"&gt;=5"))</x:f>
      </x:c>
      <x:c r="S20" s="238" t="str">
        <x:f>IF(O20="","대기",IF(R20&gt;0,"5개 이상",IF(Q20&gt;0,"4개 적중",IF(P20&gt;0,"3개 적중",""))))</x:f>
        <x:v>대기</x:v>
      </x:c>
    </x:row>
    <x:row r="21">
      <x:c r="A21" s="239" t="n">
        <x:v>1245</x:v>
      </x:c>
      <x:c r="B21" s="240" t="str">
        <x:v>2026-10-10</x:v>
      </x:c>
      <x:c r="C21" s="240" t="str">
        <x:v>대기</x:v>
      </x:c>
      <x:c r="D21" s="240"/>
      <x:c r="E21" s="240"/>
      <x:c r="F21" s="240"/>
      <x:c r="G21" s="240"/>
      <x:c r="H21" s="240"/>
      <x:c r="I21" s="240"/>
      <x:c r="J21" s="240" t="str">
        <x:f>IF(COUNTA($D21:$I21)&lt;6,"",COUNTIF($D21:$I21,'공식 5세트'!$B$2)+COUNTIF($D21:$I21,'공식 5세트'!$C$2)+COUNTIF($D21:$I21,'공식 5세트'!$D$2)+COUNTIF($D21:$I21,'공식 5세트'!$E$2)+COUNTIF($D21:$I21,'공식 5세트'!$F$2)+COUNTIF($D21:$I21,'공식 5세트'!$G$2))</x:f>
      </x:c>
      <x:c r="K21" s="240" t="str">
        <x:f>IF(COUNTA($D21:$I21)&lt;6,"",COUNTIF($D21:$I21,'공식 5세트'!$B$3)+COUNTIF($D21:$I21,'공식 5세트'!$C$3)+COUNTIF($D21:$I21,'공식 5세트'!$D$3)+COUNTIF($D21:$I21,'공식 5세트'!$E$3)+COUNTIF($D21:$I21,'공식 5세트'!$F$3)+COUNTIF($D21:$I21,'공식 5세트'!$G$3))</x:f>
      </x:c>
      <x:c r="L21" s="240" t="str">
        <x:f>IF(COUNTA($D21:$I21)&lt;6,"",COUNTIF($D21:$I21,'공식 5세트'!$B$4)+COUNTIF($D21:$I21,'공식 5세트'!$C$4)+COUNTIF($D21:$I21,'공식 5세트'!$D$4)+COUNTIF($D21:$I21,'공식 5세트'!$E$4)+COUNTIF($D21:$I21,'공식 5세트'!$F$4)+COUNTIF($D21:$I21,'공식 5세트'!$G$4))</x:f>
      </x:c>
      <x:c r="M21" s="240" t="str">
        <x:f>IF(COUNTA($D21:$I21)&lt;6,"",COUNTIF($D21:$I21,'공식 5세트'!$B$5)+COUNTIF($D21:$I21,'공식 5세트'!$C$5)+COUNTIF($D21:$I21,'공식 5세트'!$D$5)+COUNTIF($D21:$I21,'공식 5세트'!$E$5)+COUNTIF($D21:$I21,'공식 5세트'!$F$5)+COUNTIF($D21:$I21,'공식 5세트'!$G$5))</x:f>
      </x:c>
      <x:c r="N21" s="240" t="str">
        <x:f>IF(COUNTA($D21:$I21)&lt;6,"",COUNTIF($D21:$I21,'공식 5세트'!$B$6)+COUNTIF($D21:$I21,'공식 5세트'!$C$6)+COUNTIF($D21:$I21,'공식 5세트'!$D$6)+COUNTIF($D21:$I21,'공식 5세트'!$E$6)+COUNTIF($D21:$I21,'공식 5세트'!$F$6)+COUNTIF($D21:$I21,'공식 5세트'!$G$6))</x:f>
      </x:c>
      <x:c r="O21" s="240" t="str">
        <x:f>IF(COUNTA($D21:$I21)&lt;6,"",MAX(J21:N21))</x:f>
      </x:c>
      <x:c r="P21" s="240" t="str">
        <x:f>IF(O21="","",COUNTIF(J21:N21,"&gt;=3"))</x:f>
      </x:c>
      <x:c r="Q21" s="240" t="str">
        <x:f>IF(O21="","",COUNTIF(J21:N21,"&gt;=4"))</x:f>
      </x:c>
      <x:c r="R21" s="240" t="str">
        <x:f>IF(O21="","",COUNTIF(J21:N21,"&gt;=5"))</x:f>
      </x:c>
      <x:c r="S21" s="241" t="str">
        <x:f>IF(O21="","대기",IF(R21&gt;0,"5개 이상",IF(Q21&gt;0,"4개 적중",IF(P21&gt;0,"3개 적중",""))))</x:f>
        <x:v>대기</x:v>
      </x:c>
    </x:row>
    <x:row r="24">
      <x:c r="A24" s="111" t="str">
        <x:v>운영 합계</x:v>
      </x:c>
      <x:c r="B24" s="112" t="str">
        <x:v>값</x:v>
      </x:c>
      <x:c r="C24" s="112" t="str">
        <x:v>기준</x:v>
      </x:c>
      <x:c r="D24" s="112" t="str">
        <x:v>값</x:v>
      </x:c>
      <x:c r="E24" s="112" t="str">
        <x:v>운영 합계</x:v>
      </x:c>
      <x:c r="F24" s="112" t="str">
        <x:v>값</x:v>
      </x:c>
      <x:c r="G24" s="112" t="str">
        <x:v>기준</x:v>
      </x:c>
      <x:c r="H24" s="113" t="str">
        <x:v>값</x:v>
      </x:c>
    </x:row>
    <x:row r="25">
      <x:c r="A25" s="133" t="str">
        <x:v>입력 완료</x:v>
      </x:c>
      <x:c r="B25" s="134" t="n">
        <x:v>8</x:v>
      </x:c>
      <x:c r="C25" s="134" t="str">
        <x:v>전체 수명</x:v>
      </x:c>
      <x:c r="D25" s="134" t="n">
        <x:v>20</x:v>
      </x:c>
      <x:c r="E25" s="134" t="str">
        <x:v>남은 회차</x:v>
      </x:c>
      <x:c r="F25" s="134" t="n">
        <x:v>12</x:v>
      </x:c>
      <x:c r="G25" s="134" t="str">
        <x:v>다음 목표</x:v>
      </x:c>
      <x:c r="H25" s="135" t="n">
        <x:v>1234</x:v>
      </x:c>
    </x:row>
    <x:row r="26">
      <x:c r="A26" s="136" t="str">
        <x:v>3개+ 티켓</x:v>
      </x:c>
      <x:c r="B26" s="137" t="n">
        <x:v>1</x:v>
      </x:c>
      <x:c r="C26" s="137" t="str">
        <x:v>무작위 기대</x:v>
      </x:c>
      <x:c r="D26" s="137" t="n">
        <x:v>0.9533631428129439</x:v>
      </x:c>
      <x:c r="E26" s="137" t="str">
        <x:v>4개+ 티켓</x:v>
      </x:c>
      <x:c r="F26" s="137" t="n">
        <x:v>0</x:v>
      </x:c>
      <x:c r="G26" s="137" t="str">
        <x:v>무작위 기대</x:v>
      </x:c>
      <x:c r="H26" s="138" t="n">
        <x:v>0.05573930701554068</x:v>
      </x:c>
    </x:row>
    <x:row r="27">
      <x:c r="A27" s="136" t="str">
        <x:v>5개+ 티켓</x:v>
      </x:c>
      <x:c r="B27" s="137" t="n">
        <x:v>0</x:v>
      </x:c>
      <x:c r="C27" s="137" t="str">
        <x:v>무작위 기대</x:v>
      </x:c>
      <x:c r="D27" s="137" t="n">
        <x:v>0.0011540737575904902</x:v>
      </x:c>
      <x:c r="E27" s="137" t="str">
        <x:v>공식 세트</x:v>
      </x:c>
      <x:c r="F27" s="137" t="n">
        <x:v>5</x:v>
      </x:c>
      <x:c r="G27" s="137" t="str">
        <x:v>번호 커버</x:v>
      </x:c>
      <x:c r="H27" s="138" t="n">
        <x:v>28</x:v>
      </x:c>
    </x:row>
    <x:row r="28">
      <x:c r="A28" s="136" t="str">
        <x:v>첫 공식 완결</x:v>
      </x:c>
      <x:c r="B28" s="137" t="n">
        <x:v>1245</x:v>
      </x:c>
      <x:c r="C28" s="137" t="str">
        <x:v>세트 변경</x:v>
      </x:c>
      <x:c r="D28" s="137" t="str">
        <x:v>금지</x:v>
      </x:c>
      <x:c r="E28" s="137" t="str">
        <x:v>휴식 창</x:v>
      </x:c>
      <x:c r="F28" s="137" t="n">
        <x:v>1230</x:v>
      </x:c>
      <x:c r="G28" s="137" t="str">
        <x:v>기존 수명</x:v>
      </x:c>
      <x:c r="H28" s="138" t="str">
        <x:v>유지</x:v>
      </x:c>
    </x:row>
    <x:row r="29">
      <x:c r="A29" s="139" t="str">
        <x:v>보너스 번호</x:v>
      </x:c>
      <x:c r="B29" s="140" t="str">
        <x:v>제외</x:v>
      </x:c>
      <x:c r="C29" s="140" t="str">
        <x:v>채점 대상</x:v>
      </x:c>
      <x:c r="D29" s="140" t="str">
        <x:v>본번호 6개</x:v>
      </x:c>
      <x:c r="E29" s="140" t="str">
        <x:v>기록 방식</x:v>
      </x:c>
      <x:c r="F29" s="140" t="str">
        <x:v>원시+고유</x:v>
      </x:c>
      <x:c r="G29" s="140" t="str">
        <x:v>상태</x:v>
      </x:c>
      <x:c r="H29" s="141" t="str">
        <x:v>중립</x:v>
      </x:c>
    </x:row>
  </x:sheetData>
  <x:conditionalFormatting sqref="C2:C21">
    <x:cfRule type="expression" dxfId="0" priority="1">
      <x:formula>C2="확정"</x:formula>
    </x:cfRule>
    <x:cfRule type="expression" dxfId="1" priority="2">
      <x:formula>C2="대기"</x:formula>
    </x:cfRule>
  </x:conditionalFormatting>
  <x:conditionalFormatting sqref="O2:O21">
    <x:cfRule type="colorScale" priority="3">
      <x:colorScale>
        <x:cfvo type="min"/>
        <x:cfvo type="percentile" val="50"/>
        <x:cfvo type="max"/>
        <x:color rgb="FFF2F6F8"/>
        <x:color rgb="FFE6F1F8"/>
        <x:color rgb="FFDFF3E7"/>
      </x:colorScale>
    </x:cfRule>
  </x:conditionalFormatting>
  <x:conditionalFormatting sqref="Q2:Q21">
    <x:cfRule type="cellIs" dxfId="2" priority="4" operator="greaterThan">
      <x:formula>0</x:formula>
    </x:cfRule>
  </x:conditionalFormatting>
  <x:conditionalFormatting sqref="R2:R21">
    <x:cfRule type="cellIs" dxfId="3" priority="5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11" t="str">
        <x:v>한 회 추첨</x:v>
      </x:c>
      <x:c r="B1" s="112" t="str">
        <x:v>0건</x:v>
      </x:c>
      <x:c r="C1" s="112" t="str">
        <x:v>1건</x:v>
      </x:c>
      <x:c r="D1" s="112" t="str">
        <x:v>2건</x:v>
      </x:c>
      <x:c r="E1" s="112" t="str">
        <x:v>기대 티켓 수</x:v>
      </x:c>
      <x:c r="F1" s="112" t="str">
        <x:v>한 번 이상 확률</x:v>
      </x:c>
      <x:c r="G1" s="112" t="str">
        <x:v>설명</x:v>
      </x:c>
      <x:c r="H1" s="113" t="str">
        <x:v>구조 반영</x:v>
      </x:c>
    </x:row>
    <x:row r="2">
      <x:c r="A2" s="133" t="str">
        <x:v>3개+ 티켓</x:v>
      </x:c>
      <x:c r="B2" s="291" t="n">
        <x:v>0.8825361630239679</x:v>
      </x:c>
      <x:c r="C2" s="291" t="n">
        <x:v>0.11575728110044615</x:v>
      </x:c>
      <x:c r="D2" s="291" t="n">
        <x:v>0.001706555875585938</x:v>
      </x:c>
      <x:c r="E2" s="291" t="n">
        <x:v>0.11917039285161804</x:v>
      </x:c>
      <x:c r="F2" s="291" t="n">
        <x:v>0.11746383697603213</x:v>
      </x:c>
      <x:c r="G2" s="134" t="str">
        <x:v>한 회에 두 세트가 동시에 3개+일 가능성 포함</x:v>
      </x:c>
      <x:c r="H2" s="135" t="str">
        <x:v>20번의 3세트 중복 반영</x:v>
      </x:c>
    </x:row>
    <x:row r="3">
      <x:c r="A3" s="136" t="str">
        <x:v>4개+ 티켓</x:v>
      </x:c>
      <x:c r="B3" s="292" t="n">
        <x:v>0.9930325866230574</x:v>
      </x:c>
      <x:c r="C3" s="292" t="n">
        <x:v>0.006967413376942589</x:v>
      </x:c>
      <x:c r="D3" s="292" t="n">
        <x:v>0</x:v>
      </x:c>
      <x:c r="E3" s="292" t="n">
        <x:v>0.006967413376942589</x:v>
      </x:c>
      <x:c r="F3" s="292" t="n">
        <x:v>0.006967413376942622</x:v>
      </x:c>
      <x:c r="G3" s="137" t="str">
        <x:v>현재 구조에서는 한 회 두 세트 4개+ 없음</x:v>
      </x:c>
      <x:c r="H3" s="138" t="str">
        <x:v>정확 조합 계산</x:v>
      </x:c>
    </x:row>
    <x:row r="4">
      <x:c r="A4" s="139" t="str">
        <x:v>5개+ 티켓</x:v>
      </x:c>
      <x:c r="B4" s="293" t="n">
        <x:v>0.9998557407803011</x:v>
      </x:c>
      <x:c r="C4" s="293" t="n">
        <x:v>0.0001442592196988113</x:v>
      </x:c>
      <x:c r="D4" s="293" t="n">
        <x:v>0</x:v>
      </x:c>
      <x:c r="E4" s="293" t="n">
        <x:v>0.0001442592196988113</x:v>
      </x:c>
      <x:c r="F4" s="293" t="n">
        <x:v>0.00014425921969885014</x:v>
      </x:c>
      <x:c r="G4" s="140" t="str">
        <x:v>5개 또는 6개 적중</x:v>
      </x:c>
      <x:c r="H4" s="141" t="str">
        <x:v>정확 조합 계산</x:v>
      </x:c>
    </x:row>
    <x:row r="7">
      <x:c r="A7" s="111" t="str">
        <x:v>구간</x:v>
      </x:c>
      <x:c r="B7" s="112" t="str">
        <x:v>회차</x:v>
      </x:c>
      <x:c r="C7" s="112" t="str">
        <x:v>3개+ 기대</x:v>
      </x:c>
      <x:c r="D7" s="112" t="str">
        <x:v>3개+ 1회 이상</x:v>
      </x:c>
      <x:c r="E7" s="112" t="str">
        <x:v>3개+ 정확히 1회</x:v>
      </x:c>
      <x:c r="F7" s="112" t="str">
        <x:v>4개+ 기대</x:v>
      </x:c>
      <x:c r="G7" s="112" t="str">
        <x:v>4개+ 1회 이상</x:v>
      </x:c>
      <x:c r="H7" s="112" t="str">
        <x:v>4개+ 0회</x:v>
      </x:c>
      <x:c r="I7" s="113" t="str">
        <x:v>5개+ 1회 이상</x:v>
      </x:c>
    </x:row>
    <x:row r="8">
      <x:c r="A8" s="133" t="str">
        <x:v>현재</x:v>
      </x:c>
      <x:c r="B8" s="134" t="n">
        <x:v>8</x:v>
      </x:c>
      <x:c r="C8" s="159" t="n">
        <x:v>0.9533631428129439</x:v>
      </x:c>
      <x:c r="D8" s="171" t="n">
        <x:v>0.6319896089516153</x:v>
      </x:c>
      <x:c r="E8" s="171" t="n">
        <x:v>0.38615874629777414</x:v>
      </x:c>
      <x:c r="F8" s="159" t="n">
        <x:v>0.05573930701554068</x:v>
      </x:c>
      <x:c r="G8" s="297" t="n">
        <x:v>0.05439882818680083</x:v>
      </x:c>
      <x:c r="H8" s="297" t="n">
        <x:v>0.9456011718131988</x:v>
      </x:c>
      <x:c r="I8" s="177" t="n">
        <x:v>0.0011534912254508312</x:v>
      </x:c>
    </x:row>
    <x:row r="9">
      <x:c r="A9" s="136" t="str">
        <x:v>남은</x:v>
      </x:c>
      <x:c r="B9" s="137" t="n">
        <x:v>12</x:v>
      </x:c>
      <x:c r="C9" s="160" t="n">
        <x:v>1.4300447142194157</x:v>
      </x:c>
      <x:c r="D9" s="172" t="n">
        <x:v>0.7767506915773003</x:v>
      </x:c>
      <x:c r="E9" s="172" t="n">
        <x:v>0.3513882018660997</x:v>
      </x:c>
      <x:c r="F9" s="160" t="n">
        <x:v>0.08360896052331102</x:v>
      </x:c>
      <x:c r="G9" s="298" t="n">
        <x:v>0.08047825790625482</x:v>
      </x:c>
      <x:c r="H9" s="298" t="n">
        <x:v>0.9195217420937446</x:v>
      </x:c>
      <x:c r="I9" s="178" t="n">
        <x:v>0.0017297377889590002</x:v>
      </x:c>
    </x:row>
    <x:row r="10">
      <x:c r="A10" s="139" t="str">
        <x:v>전체</x:v>
      </x:c>
      <x:c r="B10" s="140" t="n">
        <x:v>20</x:v>
      </x:c>
      <x:c r="C10" s="161" t="n">
        <x:v>2.383407857032358</x:v>
      </x:c>
      <x:c r="D10" s="173" t="n">
        <x:v>0.9178419347060802</x:v>
      </x:c>
      <x:c r="E10" s="173" t="n">
        <x:v>0.21552418263088663</x:v>
      </x:c>
      <x:c r="F10" s="161" t="n">
        <x:v>0.13934826753885163</x:v>
      </x:c>
      <x:c r="G10" s="299" t="n">
        <x:v>0.13049916316844018</x:v>
      </x:c>
      <x:c r="H10" s="299" t="n">
        <x:v>0.8695008368315589</x:v>
      </x:c>
      <x:c r="I10" s="179" t="n">
        <x:v>0.002881233777047936</x:v>
      </x:c>
    </x:row>
    <x:row r="13">
      <x:c r="A13" s="322" t="str">
        <x:v>계산 방식: 45개 번호를 공식 5세트의 소속 마스크로 분류한 뒤, 6개를 뽑는 모든 8,145,060개 조합을 동적계획법으로 정확 집계했습니다. 따라서 다섯 티켓을 서로 독립이라고 단순 가정하지 않고, 20번이 세 세트에 겹치는 구조까지 반영합니다. 이 표는 모델의 미래 적중 확률 예측이 아니라 동일한 세트 구조를 무작위 추첨에 놓았을 때의 기준선입니다.</x:v>
      </x:c>
      <x:c r="B13" s="323"/>
      <x:c r="C13" s="323"/>
      <x:c r="D13" s="323"/>
      <x:c r="E13" s="323"/>
      <x:c r="F13" s="323"/>
      <x:c r="G13" s="323"/>
      <x:c r="H13" s="323"/>
      <x:c r="I13" s="324"/>
    </x:row>
    <x:row r="14">
      <x:c r="A14" s="325"/>
      <x:c r="B14" s="326"/>
      <x:c r="C14" s="326"/>
      <x:c r="D14" s="326"/>
      <x:c r="E14" s="326"/>
      <x:c r="F14" s="326"/>
      <x:c r="G14" s="326"/>
      <x:c r="H14" s="326"/>
      <x:c r="I14" s="327"/>
    </x:row>
    <x:row r="15">
      <x:c r="A15" s="325"/>
      <x:c r="B15" s="326"/>
      <x:c r="C15" s="326"/>
      <x:c r="D15" s="326"/>
      <x:c r="E15" s="326"/>
      <x:c r="F15" s="326"/>
      <x:c r="G15" s="326"/>
      <x:c r="H15" s="326"/>
      <x:c r="I15" s="327"/>
    </x:row>
    <x:row r="16">
      <x:c r="A16" s="325"/>
      <x:c r="B16" s="326"/>
      <x:c r="C16" s="326"/>
      <x:c r="D16" s="326"/>
      <x:c r="E16" s="326"/>
      <x:c r="F16" s="326"/>
      <x:c r="G16" s="326"/>
      <x:c r="H16" s="326"/>
      <x:c r="I16" s="327"/>
    </x:row>
    <x:row r="17">
      <x:c r="A17" s="325"/>
      <x:c r="B17" s="326"/>
      <x:c r="C17" s="326"/>
      <x:c r="D17" s="326"/>
      <x:c r="E17" s="326"/>
      <x:c r="F17" s="326"/>
      <x:c r="G17" s="326"/>
      <x:c r="H17" s="326"/>
      <x:c r="I17" s="327"/>
    </x:row>
    <x:row r="18">
      <x:c r="A18" s="328"/>
      <x:c r="B18" s="329"/>
      <x:c r="C18" s="329"/>
      <x:c r="D18" s="329"/>
      <x:c r="E18" s="329"/>
      <x:c r="F18" s="329"/>
      <x:c r="G18" s="329"/>
      <x:c r="H18" s="329"/>
      <x:c r="I18" s="330"/>
    </x:row>
  </x:sheetData>
  <x:mergeCells>
    <x:mergeCell ref="A13:I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111" t="str">
        <x:v>번호</x:v>
      </x:c>
      <x:c r="B1" s="112" t="str">
        <x:v>노출 세트 수</x:v>
      </x:c>
      <x:c r="C1" s="112" t="str">
        <x:v>포함 세트</x:v>
      </x:c>
      <x:c r="D1" s="113" t="str">
        <x:v>상태</x:v>
      </x:c>
      <x:c r="F1" s="111" t="str">
        <x:v>지표</x:v>
      </x:c>
      <x:c r="G1" s="112" t="str">
        <x:v>관측</x:v>
      </x:c>
      <x:c r="H1" s="112" t="str">
        <x:v>비교</x:v>
      </x:c>
      <x:c r="I1" s="113" t="str">
        <x:v>판정</x:v>
      </x:c>
    </x:row>
    <x:row r="2">
      <x:c r="A2" s="133" t="n">
        <x:v>1</x:v>
      </x:c>
      <x:c r="B2" s="134" t="n">
        <x:v>1</x:v>
      </x:c>
      <x:c r="C2" s="134" t="str">
        <x:v>1</x:v>
      </x:c>
      <x:c r="D2" s="135" t="str">
        <x:v>단일 노출</x:v>
      </x:c>
      <x:c r="F2" s="133" t="str">
        <x:v>고유번호</x:v>
      </x:c>
      <x:c r="G2" s="134" t="n">
        <x:v>28</x:v>
      </x:c>
      <x:c r="H2" s="134" t="n">
        <x:v>22.99745185185185</x:v>
      </x:c>
      <x:c r="I2" s="135" t="str">
        <x:v>커버 우세</x:v>
      </x:c>
    </x:row>
    <x:row r="3">
      <x:c r="A3" s="136" t="n">
        <x:v>2</x:v>
      </x:c>
      <x:c r="B3" s="137" t="n">
        <x:v>1</x:v>
      </x:c>
      <x:c r="C3" s="137" t="str">
        <x:v>3</x:v>
      </x:c>
      <x:c r="D3" s="138" t="str">
        <x:v>단일 노출</x:v>
      </x:c>
      <x:c r="F3" s="136" t="str">
        <x:v>커버율</x:v>
      </x:c>
      <x:c r="G3" s="172" t="n">
        <x:v>0.6222222222222222</x:v>
      </x:c>
      <x:c r="H3" s="137" t="str"/>
      <x:c r="I3" s="138" t="str">
        <x:v>28/45</x:v>
      </x:c>
    </x:row>
    <x:row r="4">
      <x:c r="A4" s="136" t="n">
        <x:v>3</x:v>
      </x:c>
      <x:c r="B4" s="137" t="n">
        <x:v>0</x:v>
      </x:c>
      <x:c r="C4" s="137" t="str"/>
      <x:c r="D4" s="138" t="str">
        <x:v>미사용</x:v>
      </x:c>
      <x:c r="F4" s="136" t="str">
        <x:v>최대 노출</x:v>
      </x:c>
      <x:c r="G4" s="137" t="n">
        <x:v>3</x:v>
      </x:c>
      <x:c r="H4" s="137" t="str"/>
      <x:c r="I4" s="138" t="str">
        <x:v>20번</x:v>
      </x:c>
    </x:row>
    <x:row r="5">
      <x:c r="A5" s="136" t="n">
        <x:v>4</x:v>
      </x:c>
      <x:c r="B5" s="137" t="n">
        <x:v>0</x:v>
      </x:c>
      <x:c r="C5" s="137" t="str"/>
      <x:c r="D5" s="138" t="str">
        <x:v>미사용</x:v>
      </x:c>
      <x:c r="F5" s="136" t="str">
        <x:v>평균 세트 겹침</x:v>
      </x:c>
      <x:c r="G5" s="359" t="n">
        <x:v>0.3</x:v>
      </x:c>
      <x:c r="H5" s="137" t="str"/>
      <x:c r="I5" s="138" t="str">
        <x:v>낮음</x:v>
      </x:c>
    </x:row>
    <x:row r="6">
      <x:c r="A6" s="136" t="n">
        <x:v>5</x:v>
      </x:c>
      <x:c r="B6" s="137" t="n">
        <x:v>0</x:v>
      </x:c>
      <x:c r="C6" s="137" t="str"/>
      <x:c r="D6" s="138" t="str">
        <x:v>미사용</x:v>
      </x:c>
      <x:c r="F6" s="139" t="str">
        <x:v>최대 세트 겹침</x:v>
      </x:c>
      <x:c r="G6" s="360" t="n">
        <x:v>1</x:v>
      </x:c>
      <x:c r="H6" s="140" t="str"/>
      <x:c r="I6" s="141" t="str">
        <x:v>1개</x:v>
      </x:c>
    </x:row>
    <x:row r="7">
      <x:c r="A7" s="136" t="n">
        <x:v>6</x:v>
      </x:c>
      <x:c r="B7" s="137" t="n">
        <x:v>0</x:v>
      </x:c>
      <x:c r="C7" s="137" t="str"/>
      <x:c r="D7" s="138" t="str">
        <x:v>미사용</x:v>
      </x:c>
    </x:row>
    <x:row r="8">
      <x:c r="A8" s="136" t="n">
        <x:v>7</x:v>
      </x:c>
      <x:c r="B8" s="137" t="n">
        <x:v>1</x:v>
      </x:c>
      <x:c r="C8" s="137" t="str">
        <x:v>4</x:v>
      </x:c>
      <x:c r="D8" s="138" t="str">
        <x:v>단일 노출</x:v>
      </x:c>
    </x:row>
    <x:row r="9">
      <x:c r="A9" s="136" t="n">
        <x:v>8</x:v>
      </x:c>
      <x:c r="B9" s="137" t="n">
        <x:v>1</x:v>
      </x:c>
      <x:c r="C9" s="137" t="str">
        <x:v>2</x:v>
      </x:c>
      <x:c r="D9" s="138" t="str">
        <x:v>단일 노출</x:v>
      </x:c>
      <x:c r="F9" s="382" t="str">
        <x:v>다섯 세트는 무작위 5세트의 평균보다 약 5.0개 많은 고유번호를 사용합니다. 세트 간 공유는 20번 세 곳뿐이며 나머지 선택번호는 각 한 세트에만 들어갑니다. 넓은 커버가 장점이지만 20번이 빠지는 회차에는 세 세트가 동시에 한 자리를 잃는 집중 위험도 함께 존재합니다. 이 구조는 사전등록된 결과이므로 1245회 전에 수정하지 않습니다.</x:v>
      </x:c>
      <x:c r="G9" s="383"/>
      <x:c r="H9" s="383"/>
      <x:c r="I9" s="384"/>
    </x:row>
    <x:row r="10">
      <x:c r="A10" s="136" t="n">
        <x:v>9</x:v>
      </x:c>
      <x:c r="B10" s="137" t="n">
        <x:v>1</x:v>
      </x:c>
      <x:c r="C10" s="137" t="str">
        <x:v>1</x:v>
      </x:c>
      <x:c r="D10" s="138" t="str">
        <x:v>단일 노출</x:v>
      </x:c>
      <x:c r="F10" s="385"/>
      <x:c r="G10" s="386"/>
      <x:c r="H10" s="386"/>
      <x:c r="I10" s="387"/>
    </x:row>
    <x:row r="11">
      <x:c r="A11" s="136" t="n">
        <x:v>10</x:v>
      </x:c>
      <x:c r="B11" s="137" t="n">
        <x:v>0</x:v>
      </x:c>
      <x:c r="C11" s="137" t="str"/>
      <x:c r="D11" s="138" t="str">
        <x:v>미사용</x:v>
      </x:c>
      <x:c r="F11" s="385"/>
      <x:c r="G11" s="386"/>
      <x:c r="H11" s="386"/>
      <x:c r="I11" s="387"/>
    </x:row>
    <x:row r="12">
      <x:c r="A12" s="136" t="n">
        <x:v>11</x:v>
      </x:c>
      <x:c r="B12" s="137" t="n">
        <x:v>0</x:v>
      </x:c>
      <x:c r="C12" s="137" t="str"/>
      <x:c r="D12" s="138" t="str">
        <x:v>미사용</x:v>
      </x:c>
      <x:c r="F12" s="385"/>
      <x:c r="G12" s="386"/>
      <x:c r="H12" s="386"/>
      <x:c r="I12" s="387"/>
    </x:row>
    <x:row r="13">
      <x:c r="A13" s="136" t="n">
        <x:v>12</x:v>
      </x:c>
      <x:c r="B13" s="137" t="n">
        <x:v>0</x:v>
      </x:c>
      <x:c r="C13" s="137" t="str"/>
      <x:c r="D13" s="138" t="str">
        <x:v>미사용</x:v>
      </x:c>
      <x:c r="F13" s="385"/>
      <x:c r="G13" s="386"/>
      <x:c r="H13" s="386"/>
      <x:c r="I13" s="387"/>
    </x:row>
    <x:row r="14">
      <x:c r="A14" s="136" t="n">
        <x:v>13</x:v>
      </x:c>
      <x:c r="B14" s="137" t="n">
        <x:v>0</x:v>
      </x:c>
      <x:c r="C14" s="137" t="str"/>
      <x:c r="D14" s="138" t="str">
        <x:v>미사용</x:v>
      </x:c>
      <x:c r="F14" s="388"/>
      <x:c r="G14" s="389"/>
      <x:c r="H14" s="389"/>
      <x:c r="I14" s="390"/>
    </x:row>
    <x:row r="15">
      <x:c r="A15" s="136" t="n">
        <x:v>14</x:v>
      </x:c>
      <x:c r="B15" s="137" t="n">
        <x:v>1</x:v>
      </x:c>
      <x:c r="C15" s="137" t="str">
        <x:v>5</x:v>
      </x:c>
      <x:c r="D15" s="138" t="str">
        <x:v>단일 노출</x:v>
      </x:c>
    </x:row>
    <x:row r="16">
      <x:c r="A16" s="136" t="n">
        <x:v>15</x:v>
      </x:c>
      <x:c r="B16" s="137" t="n">
        <x:v>1</x:v>
      </x:c>
      <x:c r="C16" s="137" t="str">
        <x:v>5</x:v>
      </x:c>
      <x:c r="D16" s="138" t="str">
        <x:v>단일 노출</x:v>
      </x:c>
    </x:row>
    <x:row r="17">
      <x:c r="A17" s="136" t="n">
        <x:v>16</x:v>
      </x:c>
      <x:c r="B17" s="137" t="n">
        <x:v>0</x:v>
      </x:c>
      <x:c r="C17" s="137" t="str"/>
      <x:c r="D17" s="138" t="str">
        <x:v>미사용</x:v>
      </x:c>
    </x:row>
    <x:row r="18">
      <x:c r="A18" s="136" t="n">
        <x:v>17</x:v>
      </x:c>
      <x:c r="B18" s="137" t="n">
        <x:v>0</x:v>
      </x:c>
      <x:c r="C18" s="137" t="str"/>
      <x:c r="D18" s="138" t="str">
        <x:v>미사용</x:v>
      </x:c>
    </x:row>
    <x:row r="19">
      <x:c r="A19" s="136" t="n">
        <x:v>18</x:v>
      </x:c>
      <x:c r="B19" s="137" t="n">
        <x:v>1</x:v>
      </x:c>
      <x:c r="C19" s="137" t="str">
        <x:v>2</x:v>
      </x:c>
      <x:c r="D19" s="138" t="str">
        <x:v>단일 노출</x:v>
      </x:c>
    </x:row>
    <x:row r="20">
      <x:c r="A20" s="136" t="n">
        <x:v>19</x:v>
      </x:c>
      <x:c r="B20" s="137" t="n">
        <x:v>1</x:v>
      </x:c>
      <x:c r="C20" s="137" t="str">
        <x:v>1</x:v>
      </x:c>
      <x:c r="D20" s="138" t="str">
        <x:v>단일 노출</x:v>
      </x:c>
    </x:row>
    <x:row r="21">
      <x:c r="A21" s="136" t="n">
        <x:v>20</x:v>
      </x:c>
      <x:c r="B21" s="137" t="n">
        <x:v>3</x:v>
      </x:c>
      <x:c r="C21" s="137" t="str">
        <x:v>2 · 4 · 5</x:v>
      </x:c>
      <x:c r="D21" s="138" t="str">
        <x:v>집중축</x:v>
      </x:c>
    </x:row>
    <x:row r="22">
      <x:c r="A22" s="136" t="n">
        <x:v>21</x:v>
      </x:c>
      <x:c r="B22" s="137" t="n">
        <x:v>1</x:v>
      </x:c>
      <x:c r="C22" s="137" t="str">
        <x:v>5</x:v>
      </x:c>
      <x:c r="D22" s="138" t="str">
        <x:v>단일 노출</x:v>
      </x:c>
    </x:row>
    <x:row r="23">
      <x:c r="A23" s="136" t="n">
        <x:v>22</x:v>
      </x:c>
      <x:c r="B23" s="137" t="n">
        <x:v>1</x:v>
      </x:c>
      <x:c r="C23" s="137" t="str">
        <x:v>2</x:v>
      </x:c>
      <x:c r="D23" s="138" t="str">
        <x:v>단일 노출</x:v>
      </x:c>
    </x:row>
    <x:row r="24">
      <x:c r="A24" s="136" t="n">
        <x:v>23</x:v>
      </x:c>
      <x:c r="B24" s="137" t="n">
        <x:v>1</x:v>
      </x:c>
      <x:c r="C24" s="137" t="str">
        <x:v>4</x:v>
      </x:c>
      <x:c r="D24" s="138" t="str">
        <x:v>단일 노출</x:v>
      </x:c>
    </x:row>
    <x:row r="25">
      <x:c r="A25" s="136" t="n">
        <x:v>24</x:v>
      </x:c>
      <x:c r="B25" s="137" t="n">
        <x:v>1</x:v>
      </x:c>
      <x:c r="C25" s="137" t="str">
        <x:v>3</x:v>
      </x:c>
      <x:c r="D25" s="138" t="str">
        <x:v>단일 노출</x:v>
      </x:c>
    </x:row>
    <x:row r="26">
      <x:c r="A26" s="136" t="n">
        <x:v>25</x:v>
      </x:c>
      <x:c r="B26" s="137" t="n">
        <x:v>0</x:v>
      </x:c>
      <x:c r="C26" s="137" t="str"/>
      <x:c r="D26" s="138" t="str">
        <x:v>미사용</x:v>
      </x:c>
    </x:row>
    <x:row r="27">
      <x:c r="A27" s="136" t="n">
        <x:v>26</x:v>
      </x:c>
      <x:c r="B27" s="137" t="n">
        <x:v>1</x:v>
      </x:c>
      <x:c r="C27" s="137" t="str">
        <x:v>3</x:v>
      </x:c>
      <x:c r="D27" s="138" t="str">
        <x:v>단일 노출</x:v>
      </x:c>
    </x:row>
    <x:row r="28">
      <x:c r="A28" s="136" t="n">
        <x:v>27</x:v>
      </x:c>
      <x:c r="B28" s="137" t="n">
        <x:v>1</x:v>
      </x:c>
      <x:c r="C28" s="137" t="str">
        <x:v>3</x:v>
      </x:c>
      <x:c r="D28" s="138" t="str">
        <x:v>단일 노출</x:v>
      </x:c>
    </x:row>
    <x:row r="29">
      <x:c r="A29" s="136" t="n">
        <x:v>28</x:v>
      </x:c>
      <x:c r="B29" s="137" t="n">
        <x:v>1</x:v>
      </x:c>
      <x:c r="C29" s="137" t="str">
        <x:v>1</x:v>
      </x:c>
      <x:c r="D29" s="138" t="str">
        <x:v>단일 노출</x:v>
      </x:c>
    </x:row>
    <x:row r="30">
      <x:c r="A30" s="136" t="n">
        <x:v>29</x:v>
      </x:c>
      <x:c r="B30" s="137" t="n">
        <x:v>1</x:v>
      </x:c>
      <x:c r="C30" s="137" t="str">
        <x:v>1</x:v>
      </x:c>
      <x:c r="D30" s="138" t="str">
        <x:v>단일 노출</x:v>
      </x:c>
    </x:row>
    <x:row r="31">
      <x:c r="A31" s="136" t="n">
        <x:v>30</x:v>
      </x:c>
      <x:c r="B31" s="137" t="n">
        <x:v>1</x:v>
      </x:c>
      <x:c r="C31" s="137" t="str">
        <x:v>2</x:v>
      </x:c>
      <x:c r="D31" s="138" t="str">
        <x:v>단일 노출</x:v>
      </x:c>
    </x:row>
    <x:row r="32">
      <x:c r="A32" s="136" t="n">
        <x:v>31</x:v>
      </x:c>
      <x:c r="B32" s="137" t="n">
        <x:v>1</x:v>
      </x:c>
      <x:c r="C32" s="137" t="str">
        <x:v>3</x:v>
      </x:c>
      <x:c r="D32" s="138" t="str">
        <x:v>단일 노출</x:v>
      </x:c>
    </x:row>
    <x:row r="33">
      <x:c r="A33" s="136" t="n">
        <x:v>32</x:v>
      </x:c>
      <x:c r="B33" s="137" t="n">
        <x:v>0</x:v>
      </x:c>
      <x:c r="C33" s="137" t="str"/>
      <x:c r="D33" s="138" t="str">
        <x:v>미사용</x:v>
      </x:c>
    </x:row>
    <x:row r="34">
      <x:c r="A34" s="136" t="n">
        <x:v>33</x:v>
      </x:c>
      <x:c r="B34" s="137" t="n">
        <x:v>0</x:v>
      </x:c>
      <x:c r="C34" s="137" t="str"/>
      <x:c r="D34" s="138" t="str">
        <x:v>미사용</x:v>
      </x:c>
    </x:row>
    <x:row r="35">
      <x:c r="A35" s="136" t="n">
        <x:v>34</x:v>
      </x:c>
      <x:c r="B35" s="137" t="n">
        <x:v>0</x:v>
      </x:c>
      <x:c r="C35" s="137" t="str"/>
      <x:c r="D35" s="138" t="str">
        <x:v>미사용</x:v>
      </x:c>
    </x:row>
    <x:row r="36">
      <x:c r="A36" s="136" t="n">
        <x:v>35</x:v>
      </x:c>
      <x:c r="B36" s="137" t="n">
        <x:v>0</x:v>
      </x:c>
      <x:c r="C36" s="137" t="str"/>
      <x:c r="D36" s="138" t="str">
        <x:v>미사용</x:v>
      </x:c>
    </x:row>
    <x:row r="37">
      <x:c r="A37" s="136" t="n">
        <x:v>36</x:v>
      </x:c>
      <x:c r="B37" s="137" t="n">
        <x:v>1</x:v>
      </x:c>
      <x:c r="C37" s="137" t="str">
        <x:v>4</x:v>
      </x:c>
      <x:c r="D37" s="138" t="str">
        <x:v>단일 노출</x:v>
      </x:c>
    </x:row>
    <x:row r="38">
      <x:c r="A38" s="136" t="n">
        <x:v>37</x:v>
      </x:c>
      <x:c r="B38" s="137" t="n">
        <x:v>1</x:v>
      </x:c>
      <x:c r="C38" s="137" t="str">
        <x:v>1</x:v>
      </x:c>
      <x:c r="D38" s="138" t="str">
        <x:v>단일 노출</x:v>
      </x:c>
    </x:row>
    <x:row r="39">
      <x:c r="A39" s="136" t="n">
        <x:v>38</x:v>
      </x:c>
      <x:c r="B39" s="137" t="n">
        <x:v>1</x:v>
      </x:c>
      <x:c r="C39" s="137" t="str">
        <x:v>4</x:v>
      </x:c>
      <x:c r="D39" s="138" t="str">
        <x:v>단일 노출</x:v>
      </x:c>
    </x:row>
    <x:row r="40">
      <x:c r="A40" s="136" t="n">
        <x:v>39</x:v>
      </x:c>
      <x:c r="B40" s="137" t="n">
        <x:v>0</x:v>
      </x:c>
      <x:c r="C40" s="137" t="str"/>
      <x:c r="D40" s="138" t="str">
        <x:v>미사용</x:v>
      </x:c>
    </x:row>
    <x:row r="41">
      <x:c r="A41" s="136" t="n">
        <x:v>40</x:v>
      </x:c>
      <x:c r="B41" s="137" t="n">
        <x:v>0</x:v>
      </x:c>
      <x:c r="C41" s="137" t="str"/>
      <x:c r="D41" s="138" t="str">
        <x:v>미사용</x:v>
      </x:c>
    </x:row>
    <x:row r="42">
      <x:c r="A42" s="136" t="n">
        <x:v>41</x:v>
      </x:c>
      <x:c r="B42" s="137" t="n">
        <x:v>1</x:v>
      </x:c>
      <x:c r="C42" s="137" t="str">
        <x:v>5</x:v>
      </x:c>
      <x:c r="D42" s="138" t="str">
        <x:v>단일 노출</x:v>
      </x:c>
    </x:row>
    <x:row r="43">
      <x:c r="A43" s="136" t="n">
        <x:v>42</x:v>
      </x:c>
      <x:c r="B43" s="137" t="n">
        <x:v>1</x:v>
      </x:c>
      <x:c r="C43" s="137" t="str">
        <x:v>4</x:v>
      </x:c>
      <x:c r="D43" s="138" t="str">
        <x:v>단일 노출</x:v>
      </x:c>
    </x:row>
    <x:row r="44">
      <x:c r="A44" s="136" t="n">
        <x:v>43</x:v>
      </x:c>
      <x:c r="B44" s="137" t="n">
        <x:v>1</x:v>
      </x:c>
      <x:c r="C44" s="137" t="str">
        <x:v>2</x:v>
      </x:c>
      <x:c r="D44" s="138" t="str">
        <x:v>단일 노출</x:v>
      </x:c>
    </x:row>
    <x:row r="45">
      <x:c r="A45" s="136" t="n">
        <x:v>44</x:v>
      </x:c>
      <x:c r="B45" s="137" t="n">
        <x:v>1</x:v>
      </x:c>
      <x:c r="C45" s="137" t="str">
        <x:v>3</x:v>
      </x:c>
      <x:c r="D45" s="138" t="str">
        <x:v>단일 노출</x:v>
      </x:c>
    </x:row>
    <x:row r="46">
      <x:c r="A46" s="139" t="n">
        <x:v>45</x:v>
      </x:c>
      <x:c r="B46" s="140" t="n">
        <x:v>1</x:v>
      </x:c>
      <x:c r="C46" s="140" t="str">
        <x:v>5</x:v>
      </x:c>
      <x:c r="D46" s="141" t="str">
        <x:v>단일 노출</x:v>
      </x:c>
    </x:row>
  </x:sheetData>
  <x:mergeCells>
    <x:mergeCell ref="F9:I14"/>
  </x:mergeCells>
  <x:conditionalFormatting sqref="B2:B46">
    <x:cfRule type="dataBar" priority="1">
      <x:dataBar>
        <x:cfvo type="min"/>
        <x:cfvo type="max"/>
        <x:color rgb="FF4F8A99"/>
      </x:dataBar>
      <x:extLst>
        <x:ext xmlns:x14="http://schemas.microsoft.com/office/spreadsheetml/2009/9/main" uri="{B025F937-C7B1-47D3-B67F-A62EFF666E3E}">
          <x14:id>{5EC88C11-B114-09A6-6AD3-FDA128CC9256}</x14:id>
        </x:ext>
      </x:extLst>
    </x:cfRule>
  </x:conditionalFormatting>
  <x:conditionalFormatting sqref="D2:D46">
    <x:cfRule type="expression" dxfId="4" priority="2">
      <x:formula>D2="집중축"</x:formula>
    </x:cfRule>
    <x:cfRule type="expression" dxfId="5" priority="3">
      <x:formula>D2="미사용"</x:formula>
    </x:cfRule>
  </x:conditionalFormatting>
  <x:pageMargins left="0.7" right="0.7" top="0.75" bottom="0.75" header="0.3" footer="0.3"/>
  <x:drawing xmlns:r="http://schemas.openxmlformats.org/officeDocument/2006/relationships" r:id="Rfb85c083b7ff4aa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EC88C11-B114-09A6-6AD3-FDA128CC9256}">
            <x14:dataBar gradient="1">
              <x14:cfvo type="min"/>
              <x14:cfvo type="max"/>
              <x14:fillColor rgb="FF4F8A99"/>
            </x14:dataBar>
          </x14:cfRule>
          <xm:sqref>B2:B46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11" t="str">
        <x:v>항목</x:v>
      </x:c>
      <x:c r="B1" s="113" t="str">
        <x:v>고정 내용</x:v>
      </x:c>
      <x:c r="D1" s="111" t="str">
        <x:v>운영 일정</x:v>
      </x:c>
      <x:c r="E1" s="112"/>
      <x:c r="F1" s="112"/>
      <x:c r="G1" s="112"/>
      <x:c r="H1" s="112"/>
      <x:c r="I1" s="113"/>
    </x:row>
    <x:row r="2">
      <x:c r="A2" s="419" t="str">
        <x:v>공식 모델</x:v>
      </x:c>
      <x:c r="B2" s="431" t="str">
        <x:v>순수 3수 분산 T형</x:v>
      </x:c>
      <x:c r="D2" s="111" t="str">
        <x:v>회차</x:v>
      </x:c>
      <x:c r="E2" s="112" t="str">
        <x:v>역할</x:v>
      </x:c>
      <x:c r="F2" s="112" t="str">
        <x:v>공식 세트</x:v>
      </x:c>
      <x:c r="G2" s="112" t="str">
        <x:v>남은 수명</x:v>
      </x:c>
      <x:c r="H2" s="112" t="str">
        <x:v>상태 변경</x:v>
      </x:c>
      <x:c r="I2" s="113" t="str">
        <x:v>비고</x:v>
      </x:c>
    </x:row>
    <x:row r="3">
      <x:c r="A3" s="420" t="str">
        <x:v>공식 입력</x:v>
      </x:c>
      <x:c r="B3" s="432" t="str">
        <x:v>1181~1225회 본번호 6개</x:v>
      </x:c>
      <x:c r="D3" s="133" t="n">
        <x:v>1234</x:v>
      </x:c>
      <x:c r="E3" s="134" t="str">
        <x:v>현재 목표</x:v>
      </x:c>
      <x:c r="F3" s="134" t="n">
        <x:v>5</x:v>
      </x:c>
      <x:c r="G3" s="134" t="n">
        <x:v>12</x:v>
      </x:c>
      <x:c r="H3" s="134" t="str">
        <x:v>없음</x:v>
      </x:c>
      <x:c r="I3" s="135" t="str">
        <x:v>1225 창 세트 유지</x:v>
      </x:c>
    </x:row>
    <x:row r="4">
      <x:c r="A4" s="420" t="str">
        <x:v>공식 추적</x:v>
      </x:c>
      <x:c r="B4" s="432" t="str">
        <x:v>1226~1245회</x:v>
      </x:c>
      <x:c r="D4" s="136" t="n">
        <x:v>1235</x:v>
      </x:c>
      <x:c r="E4" s="137" t="str">
        <x:v>다음 상태 계산</x:v>
      </x:c>
      <x:c r="F4" s="137" t="n">
        <x:v>5</x:v>
      </x:c>
      <x:c r="G4" s="137" t="n">
        <x:v>11</x:v>
      </x:c>
      <x:c r="H4" s="137" t="str">
        <x:v>1235 창 신규 판정</x:v>
      </x:c>
      <x:c r="I4" s="138" t="str">
        <x:v>1236회부터 새 창 적용</x:v>
      </x:c>
    </x:row>
    <x:row r="5">
      <x:c r="A5" s="420" t="str">
        <x:v>현재 목표</x:v>
      </x:c>
      <x:c r="B5" s="432" t="str">
        <x:v>1234회</x:v>
      </x:c>
      <x:c r="D5" s="136" t="n">
        <x:v>1240</x:v>
      </x:c>
      <x:c r="E5" s="137" t="str">
        <x:v>1220 휴식 창 완결</x:v>
      </x:c>
      <x:c r="F5" s="137" t="n">
        <x:v>5</x:v>
      </x:c>
      <x:c r="G5" s="137" t="n">
        <x:v>6</x:v>
      </x:c>
      <x:c r="H5" s="137" t="str">
        <x:v>없음</x:v>
      </x:c>
      <x:c r="I5" s="138" t="str">
        <x:v>그림자 판정</x:v>
      </x:c>
    </x:row>
    <x:row r="6">
      <x:c r="A6" s="420" t="str">
        <x:v>가동 상태</x:v>
      </x:c>
      <x:c r="B6" s="432" t="str">
        <x:v>1225회 종료 창 가동</x:v>
      </x:c>
      <x:c r="D6" s="136" t="n">
        <x:v>1245</x:v>
      </x:c>
      <x:c r="E6" s="137" t="str">
        <x:v>첫 공식 창 완결</x:v>
      </x:c>
      <x:c r="F6" s="137" t="n">
        <x:v>5</x:v>
      </x:c>
      <x:c r="G6" s="137" t="n">
        <x:v>1</x:v>
      </x:c>
      <x:c r="H6" s="137" t="str">
        <x:v>공식 평가</x:v>
      </x:c>
      <x:c r="I6" s="138" t="str">
        <x:v>주력 첫 성적표</x:v>
      </x:c>
    </x:row>
    <x:row r="7">
      <x:c r="A7" s="420" t="str">
        <x:v>후속 창</x:v>
      </x:c>
      <x:c r="B7" s="432" t="str">
        <x:v>1230회 종료 창 휴식 · 새 세트 미생성</x:v>
      </x:c>
      <x:c r="D7" s="139" t="n">
        <x:v>1250</x:v>
      </x:c>
      <x:c r="E7" s="140" t="str">
        <x:v>1230 휴식 창 완결</x:v>
      </x:c>
      <x:c r="F7" s="140" t="n">
        <x:v>0</x:v>
      </x:c>
      <x:c r="G7" s="140" t="n">
        <x:v>0</x:v>
      </x:c>
      <x:c r="H7" s="140" t="str">
        <x:v>그림자 평가</x:v>
      </x:c>
      <x:c r="I7" s="141" t="str">
        <x:v>기존 세트 수명 종료 후</x:v>
      </x:c>
    </x:row>
    <x:row r="8">
      <x:c r="A8" s="420" t="str">
        <x:v>중요 해석</x:v>
      </x:c>
      <x:c r="B8" s="432" t="str">
        <x:v>후속 휴식은 기존 가동 세트의 20회 수명을 취소하지 않음</x:v>
      </x:c>
    </x:row>
    <x:row r="9">
      <x:c r="A9" s="420" t="str">
        <x:v>세트 규칙</x:v>
      </x:c>
      <x:c r="B9" s="432" t="str">
        <x:v>순수 3수 분산 T형 · 번호 다양성 0.20 · 겹침 벌점 0.50 · 상위 3수 3개 · 코어 2차 중복 0</x:v>
      </x:c>
    </x:row>
    <x:row r="10">
      <x:c r="A10" s="420" t="str">
        <x:v>보너스 번호</x:v>
      </x:c>
      <x:c r="B10" s="432" t="str">
        <x:v>완전 제외</x:v>
      </x:c>
    </x:row>
    <x:row r="11">
      <x:c r="A11" s="420" t="str">
        <x:v>변경 금지</x:v>
      </x:c>
      <x:c r="B11" s="432" t="str">
        <x:v>1245회 완결 전 번호·가중치·집중축·수명 수정 금지</x:v>
      </x:c>
    </x:row>
    <x:row r="12">
      <x:c r="A12" s="420" t="str">
        <x:v>공식 레코드 SHA-256</x:v>
      </x:c>
      <x:c r="B12" s="432" t="str">
        <x:v>a30ba78c60f1d5edf79b0b41f0570806fd864db3b8aefdca3e89859792ca9271</x:v>
      </x:c>
    </x:row>
    <x:row r="13">
      <x:c r="A13" s="421" t="str">
        <x:v>전체 Manifest SHA-256</x:v>
      </x:c>
      <x:c r="B13" s="433" t="str">
        <x:v>2d5de5075923936180d4516c307105af1466ea5eb9f2e126903323f61784e66b</x:v>
      </x:c>
    </x:row>
  </x:sheetData>
  <x:mergeCells>
    <x:mergeCell ref="D1:I1"/>
  </x:mergeCells>
  <x:pageMargins left="0.7" right="0.7" top="0.75" bottom="0.75" header="0.3" footer="0.3"/>
</x:worksheet>
</file>